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r.G\Desktop\"/>
    </mc:Choice>
  </mc:AlternateContent>
  <xr:revisionPtr revIDLastSave="0" documentId="13_ncr:1_{F857F0F2-A6F4-46E9-A2E4-37A958D7C93C}" xr6:coauthVersionLast="47" xr6:coauthVersionMax="47" xr10:uidLastSave="{00000000-0000-0000-0000-000000000000}"/>
  <bookViews>
    <workbookView xWindow="0" yWindow="0" windowWidth="11520" windowHeight="12360" firstSheet="1" activeTab="3" xr2:uid="{DF2BE5AE-9B5C-4DB5-AC67-544C2EA68600}"/>
  </bookViews>
  <sheets>
    <sheet name="Home" sheetId="1" r:id="rId1"/>
    <sheet name="Products" sheetId="2" r:id="rId2"/>
    <sheet name="Template" sheetId="4" r:id="rId3"/>
    <sheet name="Services" sheetId="7" r:id="rId4"/>
    <sheet name="Settings" sheetId="5" state="hidden" r:id="rId5"/>
  </sheets>
  <functionGroups builtInGroupCount="19"/>
  <definedNames>
    <definedName name="Prices_include_VAT?">Settings!$B$3</definedName>
    <definedName name="PricesIncludeVAT">Settings!$B$3</definedName>
    <definedName name="ProductNames">Products[ProductName]</definedName>
    <definedName name="TotalDiscount">#REF!</definedName>
    <definedName name="VAT_Price">Settings!$B$3</definedName>
    <definedName name="VAT_Rate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2" i="2" l="1"/>
  <c r="F88" i="2"/>
  <c r="F90" i="2"/>
  <c r="F86" i="2"/>
  <c r="F80" i="2"/>
  <c r="F2" i="2"/>
  <c r="F81" i="2"/>
  <c r="F91" i="2"/>
  <c r="F99" i="2"/>
  <c r="F70" i="2"/>
  <c r="F68" i="2"/>
  <c r="F87" i="2"/>
  <c r="F95" i="2"/>
  <c r="F94" i="2"/>
  <c r="F84" i="2"/>
  <c r="F83" i="2"/>
  <c r="F85" i="2"/>
  <c r="F89" i="2"/>
  <c r="F32" i="2"/>
  <c r="F11" i="2"/>
  <c r="F28" i="2"/>
  <c r="F75" i="2"/>
  <c r="F43" i="2"/>
  <c r="F16" i="2"/>
  <c r="F30" i="2"/>
  <c r="F63" i="2"/>
  <c r="F53" i="2"/>
  <c r="F15" i="2"/>
  <c r="F18" i="2"/>
  <c r="F7" i="2"/>
  <c r="F19" i="2"/>
  <c r="F96" i="2"/>
  <c r="F97" i="2"/>
  <c r="F3" i="2"/>
  <c r="F4" i="2"/>
  <c r="F5" i="2"/>
  <c r="F6" i="2"/>
  <c r="F8" i="2"/>
  <c r="F10" i="2"/>
  <c r="F9" i="2"/>
  <c r="F42" i="2"/>
  <c r="F93" i="2"/>
  <c r="F92" i="2"/>
  <c r="F74" i="2"/>
  <c r="F69" i="2"/>
  <c r="F14" i="2"/>
  <c r="F17" i="2"/>
  <c r="F60" i="2"/>
  <c r="F72" i="2"/>
  <c r="F50" i="2"/>
  <c r="F62" i="2"/>
  <c r="F52" i="2"/>
  <c r="F51" i="2"/>
  <c r="F41" i="2"/>
  <c r="F61" i="2"/>
  <c r="F73" i="2"/>
  <c r="F54" i="2"/>
  <c r="F46" i="2"/>
  <c r="F47" i="2"/>
  <c r="F55" i="2"/>
  <c r="F64" i="2"/>
  <c r="F98" i="2"/>
  <c r="F20" i="2"/>
  <c r="F21" i="2"/>
  <c r="F22" i="2"/>
  <c r="F23" i="2"/>
  <c r="F25" i="2"/>
  <c r="F26" i="2"/>
  <c r="F24" i="2"/>
  <c r="F27" i="2"/>
  <c r="F29" i="2"/>
  <c r="F33" i="2"/>
  <c r="F37" i="2"/>
  <c r="F44" i="2"/>
  <c r="F56" i="2"/>
  <c r="F65" i="2"/>
  <c r="F76" i="2"/>
  <c r="F12" i="2"/>
  <c r="F31" i="2"/>
  <c r="F34" i="2"/>
  <c r="F38" i="2"/>
  <c r="F45" i="2"/>
  <c r="F57" i="2"/>
  <c r="F66" i="2"/>
  <c r="F77" i="2"/>
  <c r="F39" i="2"/>
  <c r="F48" i="2"/>
  <c r="F58" i="2"/>
  <c r="F67" i="2"/>
  <c r="F78" i="2"/>
  <c r="F13" i="2"/>
  <c r="F36" i="2"/>
  <c r="F40" i="2"/>
  <c r="F49" i="2"/>
  <c r="F59" i="2"/>
  <c r="F71" i="2"/>
  <c r="F79" i="2"/>
  <c r="F35" i="2"/>
  <c r="A5" i="4" l="1"/>
</calcChain>
</file>

<file path=xl/sharedStrings.xml><?xml version="1.0" encoding="utf-8"?>
<sst xmlns="http://schemas.openxmlformats.org/spreadsheetml/2006/main" count="506" uniqueCount="335">
  <si>
    <t>VAT rate</t>
  </si>
  <si>
    <t>Brand</t>
  </si>
  <si>
    <t>ColorNo</t>
  </si>
  <si>
    <t>PackageWeight_g</t>
  </si>
  <si>
    <t>PackagePrice</t>
  </si>
  <si>
    <t>PricePerGram</t>
  </si>
  <si>
    <t>CustomerNo</t>
  </si>
  <si>
    <t>Link</t>
  </si>
  <si>
    <t>TotalPrice_Gross</t>
  </si>
  <si>
    <t>VAT</t>
  </si>
  <si>
    <t>VisitID</t>
  </si>
  <si>
    <t>Product</t>
  </si>
  <si>
    <t>WeightUsed_g</t>
  </si>
  <si>
    <t>ProductCost</t>
  </si>
  <si>
    <t>ProductName</t>
  </si>
  <si>
    <t>Prices include VAT?</t>
  </si>
  <si>
    <t>Date</t>
  </si>
  <si>
    <t>Service</t>
  </si>
  <si>
    <t>NetIncome</t>
  </si>
  <si>
    <t>Wella</t>
  </si>
  <si>
    <t>Full Name</t>
  </si>
  <si>
    <t>NextCustomerNo</t>
  </si>
  <si>
    <t>Customer Phone:</t>
  </si>
  <si>
    <t>Customer E-mail:</t>
  </si>
  <si>
    <t>Customer Number:</t>
  </si>
  <si>
    <t>Customer Name:</t>
  </si>
  <si>
    <t>Phone</t>
  </si>
  <si>
    <t>Email</t>
  </si>
  <si>
    <t>Search by Phone:</t>
  </si>
  <si>
    <t>Category</t>
  </si>
  <si>
    <t>ServiceName</t>
  </si>
  <si>
    <t>Duration</t>
  </si>
  <si>
    <t>Price_EUR</t>
  </si>
  <si>
    <t>Active</t>
  </si>
  <si>
    <t>Kampaamoleikkaus lyhyet</t>
  </si>
  <si>
    <t>Kampaamoleikkaus puolipitkät</t>
  </si>
  <si>
    <t>Kampaamoleikkaus pitkät</t>
  </si>
  <si>
    <t>Kampaamoleikkaus extrapitkät</t>
  </si>
  <si>
    <t>Mallinmuutosleikkaus lyhyet</t>
  </si>
  <si>
    <t>Mallinmuutosleikkaus puolipitkät</t>
  </si>
  <si>
    <t>Mallinmuutosleikkaus pitkät</t>
  </si>
  <si>
    <t>Mallinmuutosleikkaus extrapitkät</t>
  </si>
  <si>
    <t>Otsatukan leikkaus</t>
  </si>
  <si>
    <t>Kihara- ja afrohiusten leikkaus lyhyet</t>
  </si>
  <si>
    <t>Kihara- ja afrohiusten leikkaus puolipitkät</t>
  </si>
  <si>
    <t>Kihara- ja afrohiusten leikkaus pitkät</t>
  </si>
  <si>
    <t>Kihara- ja afrohiusten leikkaus extrapitkät</t>
  </si>
  <si>
    <t>Hiusten tasaus</t>
  </si>
  <si>
    <t>Koneajo</t>
  </si>
  <si>
    <t>Parturileikkaus</t>
  </si>
  <si>
    <t>Moniväri ja leikkaus (keskipitkät)</t>
  </si>
  <si>
    <t>Moniväri ja leikkaus (pitkät)</t>
  </si>
  <si>
    <t>Moniväri ja leikkaus (extrapitkät)</t>
  </si>
  <si>
    <t>Raidat ja leikkaus (lyhyet)</t>
  </si>
  <si>
    <t>Raidat ja leikkaus (keskipitkät)</t>
  </si>
  <si>
    <t>Raidat ja leikkaus (pitkät)</t>
  </si>
  <si>
    <t>Raidat ja leikkaus (extrapitkät)</t>
  </si>
  <si>
    <t>Moniväri (lyhyet)</t>
  </si>
  <si>
    <t>Moniväri (keskipitkät)</t>
  </si>
  <si>
    <t>Moniväri (pitkät)</t>
  </si>
  <si>
    <t>Moniväri (extrapitkät)</t>
  </si>
  <si>
    <t>Raidat (lyhyet)</t>
  </si>
  <si>
    <t>Raidat (keskipitkät)</t>
  </si>
  <si>
    <t>Raidat (pitkät)</t>
  </si>
  <si>
    <t>Raidat (extrapitkät)</t>
  </si>
  <si>
    <t>Balayage ja leikkaus lyhyet hiukset</t>
  </si>
  <si>
    <t>Balayage ja leikkaus keskipitkät hiukset</t>
  </si>
  <si>
    <t>Balayage ja leikkaus extra pitkät hiukset</t>
  </si>
  <si>
    <t>Kampaukset ja meikit</t>
  </si>
  <si>
    <t>Pikakampaus</t>
  </si>
  <si>
    <t>Juhlakampaus</t>
  </si>
  <si>
    <t>Päivämeikki</t>
  </si>
  <si>
    <t>Juhlameikki</t>
  </si>
  <si>
    <t>Hiustenpesu ja föönaus (lyhyet hiukset)</t>
  </si>
  <si>
    <t>Hiustenpesu ja föönaus (keskipitkät hiukset)</t>
  </si>
  <si>
    <t>Hiustenpesu ja föönaus (pitkät hiukset)</t>
  </si>
  <si>
    <t>Hiustenpesu ja föönaus (extrapitkät hiukset)</t>
  </si>
  <si>
    <t>Nutturakampaus (lyhyet hiukset)</t>
  </si>
  <si>
    <t>Nutturakampaus (keskipitkät hiukset)</t>
  </si>
  <si>
    <t>Nutturakampaus (pitkät hiukset)</t>
  </si>
  <si>
    <t>Nutturakampaus (extrapitkät hiukset)</t>
  </si>
  <si>
    <t>Kiharakampaus</t>
  </si>
  <si>
    <t>Häämeikki</t>
  </si>
  <si>
    <t>Meikki ja kampaus (paketti)</t>
  </si>
  <si>
    <t>Väri ja leikkaus (keskipitkät)</t>
  </si>
  <si>
    <t>Väri ja leikkaus (pitkät)</t>
  </si>
  <si>
    <t>Väri ja leikkaus (extrapitkät)</t>
  </si>
  <si>
    <t>Tyviväri ja leikkaus</t>
  </si>
  <si>
    <t>Tyviväri</t>
  </si>
  <si>
    <t>Väri (lyhyet)</t>
  </si>
  <si>
    <t>Väri (keskipitkät)</t>
  </si>
  <si>
    <t>Väri (pitkät)</t>
  </si>
  <si>
    <t>Väri (extrapitkät)</t>
  </si>
  <si>
    <t>Tyvivaalennus</t>
  </si>
  <si>
    <t>Tyvivaalennus ja leikkaus</t>
  </si>
  <si>
    <t>Sävytys</t>
  </si>
  <si>
    <t>Vaalennus ja sävytys</t>
  </si>
  <si>
    <t>Värinpoisto</t>
  </si>
  <si>
    <t>Sävytys sis. pesu ja föönaus</t>
  </si>
  <si>
    <t>Permanentti ja leikkaus (keskipitkät)</t>
  </si>
  <si>
    <t>Permanentti ja leikkaus (pitkät)</t>
  </si>
  <si>
    <t>Permanentti ja leikkaus (extrapitkät)</t>
  </si>
  <si>
    <t>Permanentti lyhyet hiukset</t>
  </si>
  <si>
    <t>Permanentti keskipitkät hiukset</t>
  </si>
  <si>
    <t>Permanentti pitkät hiukset</t>
  </si>
  <si>
    <t>Osapermanentti</t>
  </si>
  <si>
    <t>Osapermanentti ja leikkaus</t>
  </si>
  <si>
    <t>Afro- ja spiraalikiharat</t>
  </si>
  <si>
    <t>Teippipidennysten poisto</t>
  </si>
  <si>
    <t>Ripset/kulmat    Ripsien värjäys</t>
  </si>
  <si>
    <t>Kulmien värjäys ja muotoilu</t>
  </si>
  <si>
    <t>Ripsien ja kulmien värjäys ja muotoilu</t>
  </si>
  <si>
    <t>Kulmien muotoilu</t>
  </si>
  <si>
    <t>Leikkaukset</t>
  </si>
  <si>
    <t>Monivärit/raidat</t>
  </si>
  <si>
    <t>Värjäykset</t>
  </si>
  <si>
    <t>Hiustenpidennykset ja permanentit</t>
  </si>
  <si>
    <t>Ripset/kulmat</t>
  </si>
  <si>
    <t>Hiushoidot</t>
  </si>
  <si>
    <t>Hiushoito</t>
  </si>
  <si>
    <t>Permanentti ja leikkaus (lyhyet)</t>
  </si>
  <si>
    <t>Väri ja leikkaus (lyhyet)</t>
  </si>
  <si>
    <t>Moniväri ja leikkaus (lyhyet)</t>
  </si>
  <si>
    <t xml:space="preserve">VisitID </t>
  </si>
  <si>
    <t>Quantity</t>
  </si>
  <si>
    <t>SIM</t>
  </si>
  <si>
    <t>T/046</t>
  </si>
  <si>
    <t>T/114</t>
  </si>
  <si>
    <t>/00</t>
  </si>
  <si>
    <t>/2</t>
  </si>
  <si>
    <t>/4</t>
  </si>
  <si>
    <t>/6</t>
  </si>
  <si>
    <t>/8</t>
  </si>
  <si>
    <t>/9B</t>
  </si>
  <si>
    <t>/9A</t>
  </si>
  <si>
    <t>S/36</t>
  </si>
  <si>
    <t>S/34</t>
  </si>
  <si>
    <t>6/074</t>
  </si>
  <si>
    <t>6/731</t>
  </si>
  <si>
    <t>4/1</t>
  </si>
  <si>
    <t>7/7</t>
  </si>
  <si>
    <t>6/7</t>
  </si>
  <si>
    <t>10/16</t>
  </si>
  <si>
    <t>10/6</t>
  </si>
  <si>
    <t>9/06</t>
  </si>
  <si>
    <t>10/66</t>
  </si>
  <si>
    <t>5/7</t>
  </si>
  <si>
    <t>8/73</t>
  </si>
  <si>
    <t>8/13</t>
  </si>
  <si>
    <t>10/13</t>
  </si>
  <si>
    <t>10/36</t>
  </si>
  <si>
    <t>7/34</t>
  </si>
  <si>
    <t>8/43</t>
  </si>
  <si>
    <t>6/34</t>
  </si>
  <si>
    <t>7/43</t>
  </si>
  <si>
    <t>6/43</t>
  </si>
  <si>
    <t>6/4</t>
  </si>
  <si>
    <t>5/4</t>
  </si>
  <si>
    <t>7/4</t>
  </si>
  <si>
    <t>8/44</t>
  </si>
  <si>
    <t>6/73</t>
  </si>
  <si>
    <t>6/07</t>
  </si>
  <si>
    <t>7/74</t>
  </si>
  <si>
    <t>12/0</t>
  </si>
  <si>
    <t>12/1</t>
  </si>
  <si>
    <t>12/13</t>
  </si>
  <si>
    <t>12/16</t>
  </si>
  <si>
    <t>12/61</t>
  </si>
  <si>
    <t>12/66</t>
  </si>
  <si>
    <t>12/18</t>
  </si>
  <si>
    <t>12/91</t>
  </si>
  <si>
    <t>2/0</t>
  </si>
  <si>
    <t>4/0</t>
  </si>
  <si>
    <t>5/0</t>
  </si>
  <si>
    <t>6/0</t>
  </si>
  <si>
    <t>7/0</t>
  </si>
  <si>
    <t>8/0</t>
  </si>
  <si>
    <t>9/0</t>
  </si>
  <si>
    <t>10/0</t>
  </si>
  <si>
    <t>3/00</t>
  </si>
  <si>
    <t>4/00</t>
  </si>
  <si>
    <t>5/00</t>
  </si>
  <si>
    <t>6/00</t>
  </si>
  <si>
    <t>7/00</t>
  </si>
  <si>
    <t>8/00</t>
  </si>
  <si>
    <t>9/00</t>
  </si>
  <si>
    <t>5/1</t>
  </si>
  <si>
    <t>6/1</t>
  </si>
  <si>
    <t>7/1</t>
  </si>
  <si>
    <t>8/1</t>
  </si>
  <si>
    <t>9/1</t>
  </si>
  <si>
    <t>10/1</t>
  </si>
  <si>
    <t>4/3</t>
  </si>
  <si>
    <t>5/3</t>
  </si>
  <si>
    <t>6/3</t>
  </si>
  <si>
    <t>7/3</t>
  </si>
  <si>
    <t>8/3</t>
  </si>
  <si>
    <t>9/3</t>
  </si>
  <si>
    <t>T/346</t>
  </si>
  <si>
    <t>SIM—4/1</t>
  </si>
  <si>
    <t>SIM—7/7</t>
  </si>
  <si>
    <t>SIM—6/7</t>
  </si>
  <si>
    <t>SIM—10/16</t>
  </si>
  <si>
    <t>SIM—10/6</t>
  </si>
  <si>
    <t>SIM—9/06</t>
  </si>
  <si>
    <t>SIM—10/66</t>
  </si>
  <si>
    <t>SIM—T/046</t>
  </si>
  <si>
    <t>SIM—T/114</t>
  </si>
  <si>
    <t>SIM—/00</t>
  </si>
  <si>
    <t>SIM—/2</t>
  </si>
  <si>
    <t>SIM—/4</t>
  </si>
  <si>
    <t>SIM—/6</t>
  </si>
  <si>
    <t>SIM—/8</t>
  </si>
  <si>
    <t>SIM—/9B</t>
  </si>
  <si>
    <t>SIM—/9A</t>
  </si>
  <si>
    <t>SIM—5/7</t>
  </si>
  <si>
    <t>SIM—S/36</t>
  </si>
  <si>
    <t>SIM—S/34</t>
  </si>
  <si>
    <t>SIM—8/73</t>
  </si>
  <si>
    <t>SIM—8/13</t>
  </si>
  <si>
    <t>SIM—10/13</t>
  </si>
  <si>
    <t>SIM—10/36</t>
  </si>
  <si>
    <t>SIM—7/34</t>
  </si>
  <si>
    <t>SIM—8/43</t>
  </si>
  <si>
    <t>SIM—6/34</t>
  </si>
  <si>
    <t>SIM—7/43</t>
  </si>
  <si>
    <t>SIM—6/43</t>
  </si>
  <si>
    <t>SIM—6/4</t>
  </si>
  <si>
    <t>SIM—5/4</t>
  </si>
  <si>
    <t>SIM—7/4</t>
  </si>
  <si>
    <t>SIM—8/44</t>
  </si>
  <si>
    <t>SIM—6/73</t>
  </si>
  <si>
    <t>SIM—6/07</t>
  </si>
  <si>
    <t>SIM—6/074</t>
  </si>
  <si>
    <t>SIM—6/731</t>
  </si>
  <si>
    <t>SIM—7/74</t>
  </si>
  <si>
    <t>SIM—11246</t>
  </si>
  <si>
    <t>SIM—12/0</t>
  </si>
  <si>
    <t>SIM—12/1</t>
  </si>
  <si>
    <t>SIM—12/13</t>
  </si>
  <si>
    <t>SIM—12/16</t>
  </si>
  <si>
    <t>SIM—12/61</t>
  </si>
  <si>
    <t>SIM—12/66</t>
  </si>
  <si>
    <t>SIM—12/18</t>
  </si>
  <si>
    <t>SIM—12/91</t>
  </si>
  <si>
    <t>SIM—2/0</t>
  </si>
  <si>
    <t>SIM—4/0</t>
  </si>
  <si>
    <t>SIM—5/0</t>
  </si>
  <si>
    <t>SIM—6/0</t>
  </si>
  <si>
    <t>SIM—7/0</t>
  </si>
  <si>
    <t>SIM—8/0</t>
  </si>
  <si>
    <t>SIM—9/0</t>
  </si>
  <si>
    <t>SIM—10/0</t>
  </si>
  <si>
    <t>SIM—3/00</t>
  </si>
  <si>
    <t>SIM—4/00</t>
  </si>
  <si>
    <t>SIM—5/00</t>
  </si>
  <si>
    <t>SIM—6/00</t>
  </si>
  <si>
    <t>SIM—7/00</t>
  </si>
  <si>
    <t>SIM—8/00</t>
  </si>
  <si>
    <t>SIM—9/00</t>
  </si>
  <si>
    <t>SIM—5/1</t>
  </si>
  <si>
    <t>SIM—6/1</t>
  </si>
  <si>
    <t>SIM—7/1</t>
  </si>
  <si>
    <t>SIM—8/1</t>
  </si>
  <si>
    <t>SIM—9/1</t>
  </si>
  <si>
    <t>SIM—10/1</t>
  </si>
  <si>
    <t>SIM—4/3</t>
  </si>
  <si>
    <t>SIM—5/3</t>
  </si>
  <si>
    <t>SIM—6/3</t>
  </si>
  <si>
    <t>SIM—7/3</t>
  </si>
  <si>
    <t>SIM—8/3</t>
  </si>
  <si>
    <t>SIM—9/3</t>
  </si>
  <si>
    <t>SIM—3/0</t>
  </si>
  <si>
    <t>3/0</t>
  </si>
  <si>
    <t>10/3</t>
  </si>
  <si>
    <t>SIM—10/3</t>
  </si>
  <si>
    <t>6%</t>
  </si>
  <si>
    <t>Wella —6%</t>
  </si>
  <si>
    <t xml:space="preserve">GoldWell </t>
  </si>
  <si>
    <t>2%</t>
  </si>
  <si>
    <t>Wella —1.9%</t>
  </si>
  <si>
    <t>GoldWell—2%</t>
  </si>
  <si>
    <t>1.9%</t>
  </si>
  <si>
    <t>Wella —4%</t>
  </si>
  <si>
    <t xml:space="preserve">Wella </t>
  </si>
  <si>
    <t>4%</t>
  </si>
  <si>
    <t>1000</t>
  </si>
  <si>
    <t>7.99</t>
  </si>
  <si>
    <t>2</t>
  </si>
  <si>
    <t>Wella—9%</t>
  </si>
  <si>
    <t>9%</t>
  </si>
  <si>
    <t>Fanola</t>
  </si>
  <si>
    <t>Fanola—No yellow</t>
  </si>
  <si>
    <t>No-Yellow</t>
  </si>
  <si>
    <t>Schwarzkopf—Fixator</t>
  </si>
  <si>
    <t>Schwarzkopf</t>
  </si>
  <si>
    <t>Fixator</t>
  </si>
  <si>
    <t>Schwarzkopf—Classic 0</t>
  </si>
  <si>
    <t>Classic 0</t>
  </si>
  <si>
    <t>Schwarzkopf—Fibre Clinix</t>
  </si>
  <si>
    <t>Fibre Clinix</t>
  </si>
  <si>
    <t>Schwarzkopf </t>
  </si>
  <si>
    <t>Nioxin</t>
  </si>
  <si>
    <t>Nioxin—System 1</t>
  </si>
  <si>
    <t>System 1</t>
  </si>
  <si>
    <t>Nioxin—System 2</t>
  </si>
  <si>
    <t>System 2</t>
  </si>
  <si>
    <t>Joico</t>
  </si>
  <si>
    <t>Joico—Hoito</t>
  </si>
  <si>
    <t>K2—Hoito</t>
  </si>
  <si>
    <t>KE-Demi—8.12</t>
  </si>
  <si>
    <t>KE-Demi</t>
  </si>
  <si>
    <t>8/12</t>
  </si>
  <si>
    <t>KE-Demi—8.22</t>
  </si>
  <si>
    <t>8/22</t>
  </si>
  <si>
    <t>Refect-Brow-color—Vaaleanruskea</t>
  </si>
  <si>
    <t>Refect-Brow-color</t>
  </si>
  <si>
    <t>Vaaleanruskea</t>
  </si>
  <si>
    <t>Refect-Brow-color—Ruskea 3</t>
  </si>
  <si>
    <t>Ruskea 3</t>
  </si>
  <si>
    <t>Casa</t>
  </si>
  <si>
    <t>Capelli sinin</t>
  </si>
  <si>
    <t>Vaalennus—Sininen—Pulveri</t>
  </si>
  <si>
    <t xml:space="preserve"> Blondor Multi  Powder</t>
  </si>
  <si>
    <t>Wella — Blondor Multi  Powder</t>
  </si>
  <si>
    <t>Aomori — Blue Angel Bleach</t>
  </si>
  <si>
    <t>Aomori</t>
  </si>
  <si>
    <t>Blue Angel Bleach</t>
  </si>
  <si>
    <t>Ke Kay —Color Mask</t>
  </si>
  <si>
    <t>Ke Kay</t>
  </si>
  <si>
    <t>Gold</t>
  </si>
  <si>
    <t>Caramel</t>
  </si>
  <si>
    <t>Lavender</t>
  </si>
  <si>
    <t>Pastel pink</t>
  </si>
  <si>
    <t>Search by Customer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</si>
</sst>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rial"/>
      <family val="2"/>
    </font>
    <font>
      <sz val="14"/>
      <color theme="1"/>
      <name val="Arial"/>
      <family val="2"/>
    </font>
    <font>
      <sz val="8"/>
      <name val="Aptos Narrow"/>
      <family val="2"/>
      <scheme val="minor"/>
    </font>
    <font>
      <sz val="16"/>
      <color rgb="FF000000"/>
      <name val="Aptos Narrow"/>
      <family val="2"/>
    </font>
    <font>
      <sz val="11"/>
      <color rgb="FF000000"/>
      <name val="Aptos Narrow"/>
      <family val="2"/>
    </font>
    <font>
      <sz val="20"/>
      <color rgb="FF000000"/>
      <name val="Aptos Narrow"/>
      <family val="2"/>
    </font>
    <font>
      <sz val="14"/>
      <color rgb="FF000000"/>
      <name val="Aptos Narrow"/>
      <family val="2"/>
    </font>
    <font>
      <sz val="14"/>
      <color theme="1"/>
      <name val="Times New Roman"/>
      <family val="1"/>
    </font>
    <font>
      <sz val="14"/>
      <color rgb="FF1B2E30"/>
      <name val="Times New Roman"/>
      <family val="1"/>
    </font>
    <font>
      <sz val="16"/>
      <color theme="1"/>
      <name val="Aptos Narrow"/>
      <family val="2"/>
      <scheme val="minor"/>
    </font>
    <font>
      <sz val="19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1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0" fontId="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30480</xdr:rowOff>
        </xdr:from>
        <xdr:to>
          <xdr:col>0</xdr:col>
          <xdr:colOff>1104900</xdr:colOff>
          <xdr:row>2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82296" rIns="73152" bIns="8229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167640</xdr:rowOff>
        </xdr:from>
        <xdr:to>
          <xdr:col>3</xdr:col>
          <xdr:colOff>1379220</xdr:colOff>
          <xdr:row>1</xdr:row>
          <xdr:rowOff>179070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 Customer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1021080</xdr:colOff>
          <xdr:row>0</xdr:row>
          <xdr:rowOff>19050</xdr:rowOff>
        </xdr:from>
        <xdr:to>
          <xdr:col>6</xdr:col>
          <xdr:colOff>3810</xdr:colOff>
          <xdr:row>2</xdr:row>
          <xdr:rowOff>57150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2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/>
                </a:rPr>
                <a:t>Add Visit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2</xdr:row>
          <xdr:rowOff>95250</xdr:rowOff>
        </xdr:from>
        <xdr:to>
          <xdr:col>5</xdr:col>
          <xdr:colOff>1104900</xdr:colOff>
          <xdr:row>4</xdr:row>
          <xdr:rowOff>57150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2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Add Product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A18917-91DF-4A36-8843-50A3C65328D5}" name="CustomersList" displayName="CustomersList" ref="A4:E5" insertRow="1" totalsRowShown="0" headerRowDxfId="45" dataDxfId="44">
  <autoFilter ref="A4:E5" xr:uid="{80A18917-91DF-4A36-8843-50A3C65328D5}"/>
  <tableColumns count="5">
    <tableColumn id="1" xr3:uid="{FB79C130-CD30-4FE2-924C-3E6ED1792954}" name="CustomerNo" dataDxfId="43"/>
    <tableColumn id="2" xr3:uid="{857D0F06-B004-486E-8966-D86E95753219}" name="Full Name" dataDxfId="42"/>
    <tableColumn id="4" xr3:uid="{E7EE8E19-9DCB-45C4-B247-BC151D928689}" name="Phone" dataDxfId="41"/>
    <tableColumn id="5" xr3:uid="{C5B9499F-C793-4E5F-8E1E-5BC965418903}" name="Email" dataDxfId="40"/>
    <tableColumn id="3" xr3:uid="{69A26362-1E84-4F62-B146-45A29453B7A2}" name="Link" dataDxfId="39">
      <calculatedColumnFormula>HYPERLINK("#'C0558'!A1", "Go ?")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BC87C7-1293-40B5-A377-524BE84AED23}" name="Products" displayName="Products" ref="A1:G99" totalsRowShown="0" headerRowDxfId="38" dataDxfId="37">
  <autoFilter ref="A1:G99" xr:uid="{1EBC87C7-1293-40B5-A377-524BE84AED23}"/>
  <tableColumns count="7">
    <tableColumn id="1" xr3:uid="{653740FC-9A5F-4517-8705-3CD80F65404C}" name="ProductName" dataDxfId="36"/>
    <tableColumn id="2" xr3:uid="{35AA50A0-1AAC-48EF-A8EA-D28F11F9ADCE}" name="Brand" dataDxfId="35"/>
    <tableColumn id="3" xr3:uid="{5AA572CE-B22F-4956-88B9-4284D3168C54}" name="ColorNo" dataDxfId="34"/>
    <tableColumn id="4" xr3:uid="{0FB14AD8-FBD3-43F9-8DAB-0901453266AC}" name="PackageWeight_g" dataDxfId="33"/>
    <tableColumn id="5" xr3:uid="{6FE39350-B6E2-49BE-8C21-C7A7B2CB1819}" name="PackagePrice" dataDxfId="32"/>
    <tableColumn id="6" xr3:uid="{B2927BA3-5C2C-4375-9B1E-05C513DC4C1C}" name="PricePerGram" dataDxfId="31">
      <calculatedColumnFormula>Products[[#This Row],[PackagePrice]]/Products[[#This Row],[PackageWeight_g]]</calculatedColumnFormula>
    </tableColumn>
    <tableColumn id="7" xr3:uid="{A8AF3733-6E01-4981-A897-1C8F38724C5D}" name="Quantity" dataDxfId="30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0A5A1-26A3-461B-870E-71BEABE0710D}" name="VisitsTable" displayName="VisitsTable" ref="A7:F8" insertRow="1" headerRowDxfId="29" dataDxfId="28" totalsRowDxfId="27">
  <autoFilter ref="A7:F8" xr:uid="{7E30A5A1-26A3-461B-870E-71BEABE0710D}"/>
  <tableColumns count="6">
    <tableColumn id="1" xr3:uid="{9362A058-1FAB-46C6-BA56-B071A5404FE1}" name="VisitID" totalsRowLabel="Total" dataDxfId="26" totalsRowDxfId="25"/>
    <tableColumn id="2" xr3:uid="{32ADD003-DB1F-47F4-B950-06D8158D21D9}" name="Date" dataDxfId="24" totalsRowDxfId="23"/>
    <tableColumn id="3" xr3:uid="{0D965BB8-CB1C-44AD-B754-CED30E2B71B1}" name="Service" dataDxfId="22" totalsRowDxfId="21"/>
    <tableColumn id="4" xr3:uid="{31FAB973-E138-4819-9118-6E4544425CD6}" name="TotalPrice_Gross" dataDxfId="20" totalsRowDxfId="19"/>
    <tableColumn id="5" xr3:uid="{4F43ACFF-0C62-4B52-9A06-88729820E435}" name="VAT" dataDxfId="18" totalsRowDxfId="17">
      <calculatedColumnFormula>IF(PricesIncludeVAT, VisitsTable[[#This Row],[TotalPrice_Gross]] - VisitsTable[[#This Row],[TotalPrice_Gross]]/(1+VAT_Rate), VisitsTable[[#This Row],[TotalPrice_Gross]]*VAT_Rate)</calculatedColumnFormula>
    </tableColumn>
    <tableColumn id="6" xr3:uid="{B4F57BC7-7412-4967-9FE5-10A5E1DD8A88}" name="NetIncome" totalsRowFunction="sum" dataDxfId="16" totalsRowDxfId="15">
      <calculatedColumnFormula array="1">VisitsTable[[#This Row],[TotalPrice_Gross]]
- VisitsTable[[#This Row],[VAT]]
- SUMPRODUCT(
    (ProductsUsedTable[VisitID]=VisitsTable[[#This Row],[VisitID]]) *
    (IFERROR(VALUE(ProductsUsedTable[ProductCost]), 0))
  )
- 2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71C985-7B59-4A6F-BA10-F7B06F9862EE}" name="ProductsUsedTable" displayName="ProductsUsedTable" ref="A9:F10" insertRow="1" totalsRowShown="0" headerRowDxfId="14" dataDxfId="13">
  <autoFilter ref="A9:F10" xr:uid="{FD71C985-7B59-4A6F-BA10-F7B06F9862EE}"/>
  <tableColumns count="6">
    <tableColumn id="1" xr3:uid="{8568B7F9-7AFF-4CDE-89DE-A2CEE97C3558}" name="VisitID" dataDxfId="12"/>
    <tableColumn id="2" xr3:uid="{ABB34DA3-8FEA-4B86-A25E-98D4097C0B5B}" name="Product" dataDxfId="11"/>
    <tableColumn id="3" xr3:uid="{D2A8CB03-F823-481C-9A1C-839E86DFEB6D}" name="Brand" dataDxfId="10">
      <calculatedColumnFormula>_xlfn.XLOOKUP(ProductsUsedTable[[#This Row],[Product]], Products[ProductName], Products[Brand], "")</calculatedColumnFormula>
    </tableColumn>
    <tableColumn id="4" xr3:uid="{10F1581B-0C0B-47FD-91AF-D95CB05EAC0D}" name="ColorNo" dataDxfId="9">
      <calculatedColumnFormula>_xlfn.XLOOKUP(ProductsUsedTable[[#This Row],[Product]], Products[ProductName], Products[ColorNo], "")</calculatedColumnFormula>
    </tableColumn>
    <tableColumn id="5" xr3:uid="{EC91976E-4AFD-45E8-B48C-39C2240FCBEC}" name="WeightUsed_g" dataDxfId="8"/>
    <tableColumn id="6" xr3:uid="{06F40380-5602-4A09-8B25-8300D5C612D3}" name="ProductCost" dataDxfId="7">
      <calculatedColumnFormula>IF(ProductsUsedTable[[#This Row],[Product]]="","", ProductsUsedTable[[#This Row],[WeightUsed_g]] * _xlfn.XLOOKUP(ProductsUsedTable[[#This Row],[Product]], Products[ProductName], Products[PricePerGram], 0))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CC5D11E-1600-411B-9EDD-6A2AC368478B}" name="ServicesTable" displayName="ServicesTable" ref="F1:J86" totalsRowShown="0" headerRowDxfId="6" dataDxfId="5">
  <autoFilter ref="F1:J86" xr:uid="{7CC5D11E-1600-411B-9EDD-6A2AC368478B}"/>
  <tableColumns count="5">
    <tableColumn id="1" xr3:uid="{CF00DF11-C448-4121-B98E-E3B2555F2AD5}" name="Category" dataDxfId="4"/>
    <tableColumn id="2" xr3:uid="{5670C43A-271F-4098-9EF5-A365B72A00EA}" name="ServiceName" dataDxfId="3"/>
    <tableColumn id="3" xr3:uid="{BADD00C8-822D-48A4-A6D8-919ED6DD0DCF}" name="Duration" dataDxfId="2"/>
    <tableColumn id="4" xr3:uid="{8CE000C1-52C7-43C6-A117-2CBD0E98DD6F}" name="Price_EUR" dataDxfId="1"/>
    <tableColumn id="5" xr3:uid="{B317F4B2-277C-4CCA-9E97-76BA325223C0}" name="Activ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0EC0A-7617-45D9-8734-99AA74EF94E8}">
  <sheetPr codeName="Sheet1">
    <tabColor theme="5"/>
  </sheetPr>
  <dimension ref="A1:H6"/>
  <sheetViews>
    <sheetView workbookViewId="0">
      <selection activeCell="A4" sqref="A4:E4"/>
    </sheetView>
  </sheetViews>
  <sheetFormatPr defaultColWidth="0" defaultRowHeight="14.4" x14ac:dyDescent="0.55000000000000004"/>
  <cols>
    <col min="1" max="1" width="15.3125" style="1" bestFit="1" customWidth="1"/>
    <col min="2" max="2" width="26" style="1" customWidth="1"/>
    <col min="3" max="3" width="14.20703125" style="1" bestFit="1" customWidth="1"/>
    <col min="4" max="4" width="19.20703125" style="1" bestFit="1" customWidth="1"/>
    <col min="5" max="5" width="15.9453125" style="1" bestFit="1" customWidth="1"/>
    <col min="6" max="6" width="15" style="1" hidden="1" customWidth="1"/>
    <col min="7" max="7" width="13.3671875" style="1" hidden="1" customWidth="1"/>
    <col min="8" max="8" width="14.26171875" style="1" hidden="1" customWidth="1"/>
    <col min="9" max="9" width="13.1015625" style="1" hidden="1" customWidth="1"/>
    <col min="10" max="16384" width="13.1015625" style="1" hidden="1"/>
  </cols>
  <sheetData>
    <row r="1" spans="1:7" x14ac:dyDescent="0.55000000000000004">
      <c r="B1" s="1" t="s">
        <v>334</v>
      </c>
      <c r="C1" s="1" t="s">
        <v>28</v>
      </c>
      <c r="E1" s="1" t="s">
        <v>21</v>
      </c>
      <c r="F1" s="1">
        <v>1</v>
      </c>
    </row>
    <row r="2" spans="1:7" x14ac:dyDescent="0.55000000000000004">
      <c r="E2" s="1">
        <v>7394</v>
      </c>
    </row>
    <row r="3" spans="1:7" x14ac:dyDescent="0.55000000000000004">
      <c r="C3" s="11"/>
    </row>
    <row r="4" spans="1:7" x14ac:dyDescent="0.55000000000000004">
      <c r="A4" s="1" t="s">
        <v>6</v>
      </c>
      <c r="B4" s="1" t="s">
        <v>20</v>
      </c>
      <c r="C4" s="1" t="s">
        <v>26</v>
      </c>
      <c r="D4" s="1" t="s">
        <v>27</v>
      </c>
      <c r="E4" s="1" t="s">
        <v>7</v>
      </c>
      <c r="G4" s="18"/>
    </row>
    <row r="5" spans="1:7" x14ac:dyDescent="0.55000000000000004">
      <c r="E5" s="3"/>
      <c r="G5" s="18"/>
    </row>
    <row r="6" spans="1:7" x14ac:dyDescent="0.55000000000000004">
      <c r="G6" s="18"/>
    </row>
  </sheetData>
  <mergeCells count="1">
    <mergeCell ref="G4:G6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utoAddCustomer">
                <anchor moveWithCells="1" sizeWithCells="1">
                  <from>
                    <xdr:col>0</xdr:col>
                    <xdr:colOff>19050</xdr:colOff>
                    <xdr:row>0</xdr:row>
                    <xdr:rowOff>30480</xdr:rowOff>
                  </from>
                  <to>
                    <xdr:col>0</xdr:col>
                    <xdr:colOff>1104900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earchCustomer">
                <anchor moveWithCells="1" sizeWithCells="1">
                  <from>
                    <xdr:col>3</xdr:col>
                    <xdr:colOff>0</xdr:colOff>
                    <xdr:row>0</xdr:row>
                    <xdr:rowOff>167640</xdr:rowOff>
                  </from>
                  <to>
                    <xdr:col>3</xdr:col>
                    <xdr:colOff>1379220</xdr:colOff>
                    <xdr:row>1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4F7D1-B856-4774-A9B4-A84E6675D099}">
  <sheetPr codeName="Sheet2">
    <tabColor theme="6"/>
  </sheetPr>
  <dimension ref="A1:G99"/>
  <sheetViews>
    <sheetView topLeftCell="C1" workbookViewId="0">
      <selection activeCell="B1" sqref="B1:G1"/>
    </sheetView>
  </sheetViews>
  <sheetFormatPr defaultColWidth="0" defaultRowHeight="14.4" x14ac:dyDescent="0.55000000000000004"/>
  <cols>
    <col min="1" max="1" width="28.15625" bestFit="1" customWidth="1"/>
    <col min="2" max="2" width="14.83984375" bestFit="1" customWidth="1"/>
    <col min="3" max="3" width="18.1015625" bestFit="1" customWidth="1"/>
    <col min="4" max="4" width="19.20703125" bestFit="1" customWidth="1"/>
    <col min="5" max="5" width="15.9453125" style="15" bestFit="1" customWidth="1"/>
    <col min="6" max="6" width="16.3125" style="17" bestFit="1" customWidth="1"/>
    <col min="7" max="7" width="11.89453125" bestFit="1" customWidth="1"/>
    <col min="8" max="16384" width="8.83984375" hidden="1"/>
  </cols>
  <sheetData>
    <row r="1" spans="1:7" x14ac:dyDescent="0.55000000000000004">
      <c r="A1" s="1" t="s">
        <v>14</v>
      </c>
      <c r="B1" s="1" t="s">
        <v>1</v>
      </c>
      <c r="C1" s="1" t="s">
        <v>2</v>
      </c>
      <c r="D1" s="1" t="s">
        <v>3</v>
      </c>
      <c r="E1" s="2" t="s">
        <v>4</v>
      </c>
      <c r="F1" s="16" t="s">
        <v>5</v>
      </c>
      <c r="G1" s="1" t="s">
        <v>124</v>
      </c>
    </row>
    <row r="2" spans="1:7" x14ac:dyDescent="0.55000000000000004">
      <c r="A2" s="11" t="s">
        <v>324</v>
      </c>
      <c r="B2" s="11" t="s">
        <v>19</v>
      </c>
      <c r="C2" s="11" t="s">
        <v>323</v>
      </c>
      <c r="D2" s="1">
        <v>800</v>
      </c>
      <c r="E2" s="14">
        <v>31.25</v>
      </c>
      <c r="F2" s="16">
        <f>Products[[#This Row],[PackagePrice]]/Products[[#This Row],[PackageWeight_g]]</f>
        <v>3.90625E-2</v>
      </c>
      <c r="G2" s="1">
        <v>1</v>
      </c>
    </row>
    <row r="3" spans="1:7" x14ac:dyDescent="0.55000000000000004">
      <c r="A3" s="11" t="s">
        <v>208</v>
      </c>
      <c r="B3" s="11" t="s">
        <v>125</v>
      </c>
      <c r="C3" s="13" t="s">
        <v>128</v>
      </c>
      <c r="D3" s="1">
        <v>30</v>
      </c>
      <c r="E3" s="14">
        <v>4.6689999999999996</v>
      </c>
      <c r="F3" s="16">
        <f>Products[[#This Row],[PackagePrice]]/Products[[#This Row],[PackageWeight_g]]</f>
        <v>0.15563333333333332</v>
      </c>
      <c r="G3" s="1">
        <v>10</v>
      </c>
    </row>
    <row r="4" spans="1:7" x14ac:dyDescent="0.55000000000000004">
      <c r="A4" s="11" t="s">
        <v>209</v>
      </c>
      <c r="B4" s="11" t="s">
        <v>125</v>
      </c>
      <c r="C4" s="13" t="s">
        <v>129</v>
      </c>
      <c r="D4" s="1">
        <v>30</v>
      </c>
      <c r="E4" s="14">
        <v>4.67</v>
      </c>
      <c r="F4" s="16">
        <f>Products[[#This Row],[PackagePrice]]/Products[[#This Row],[PackageWeight_g]]</f>
        <v>0.15566666666666668</v>
      </c>
      <c r="G4" s="1">
        <v>1</v>
      </c>
    </row>
    <row r="5" spans="1:7" x14ac:dyDescent="0.55000000000000004">
      <c r="A5" s="11" t="s">
        <v>210</v>
      </c>
      <c r="B5" s="11" t="s">
        <v>125</v>
      </c>
      <c r="C5" s="13" t="s">
        <v>130</v>
      </c>
      <c r="D5" s="1">
        <v>30</v>
      </c>
      <c r="E5" s="14">
        <v>4.67</v>
      </c>
      <c r="F5" s="16">
        <f>Products[[#This Row],[PackagePrice]]/Products[[#This Row],[PackageWeight_g]]</f>
        <v>0.15566666666666668</v>
      </c>
      <c r="G5" s="1">
        <v>2</v>
      </c>
    </row>
    <row r="6" spans="1:7" x14ac:dyDescent="0.55000000000000004">
      <c r="A6" s="11" t="s">
        <v>211</v>
      </c>
      <c r="B6" s="11" t="s">
        <v>125</v>
      </c>
      <c r="C6" s="13" t="s">
        <v>131</v>
      </c>
      <c r="D6" s="1">
        <v>30</v>
      </c>
      <c r="E6" s="14">
        <v>4.67</v>
      </c>
      <c r="F6" s="16">
        <f>Products[[#This Row],[PackagePrice]]/Products[[#This Row],[PackageWeight_g]]</f>
        <v>0.15566666666666668</v>
      </c>
      <c r="G6" s="1">
        <v>1</v>
      </c>
    </row>
    <row r="7" spans="1:7" x14ac:dyDescent="0.55000000000000004">
      <c r="A7" s="11" t="s">
        <v>204</v>
      </c>
      <c r="B7" s="11" t="s">
        <v>125</v>
      </c>
      <c r="C7" s="13" t="s">
        <v>144</v>
      </c>
      <c r="D7" s="1">
        <v>30</v>
      </c>
      <c r="E7" s="14">
        <v>4.6680000000000001</v>
      </c>
      <c r="F7" s="16">
        <f>Products[[#This Row],[PackagePrice]]/Products[[#This Row],[PackageWeight_g]]</f>
        <v>0.15560000000000002</v>
      </c>
      <c r="G7" s="1">
        <v>5</v>
      </c>
    </row>
    <row r="8" spans="1:7" x14ac:dyDescent="0.55000000000000004">
      <c r="A8" s="11" t="s">
        <v>212</v>
      </c>
      <c r="B8" s="11" t="s">
        <v>125</v>
      </c>
      <c r="C8" s="13" t="s">
        <v>132</v>
      </c>
      <c r="D8" s="1">
        <v>30</v>
      </c>
      <c r="E8" s="14">
        <v>4.67</v>
      </c>
      <c r="F8" s="16">
        <f>Products[[#This Row],[PackagePrice]]/Products[[#This Row],[PackageWeight_g]]</f>
        <v>0.15566666666666668</v>
      </c>
      <c r="G8" s="1">
        <v>1</v>
      </c>
    </row>
    <row r="9" spans="1:7" x14ac:dyDescent="0.55000000000000004">
      <c r="A9" s="11" t="s">
        <v>214</v>
      </c>
      <c r="B9" s="11" t="s">
        <v>125</v>
      </c>
      <c r="C9" s="13" t="s">
        <v>134</v>
      </c>
      <c r="D9" s="1">
        <v>30</v>
      </c>
      <c r="E9" s="14">
        <v>4.6683333333333339</v>
      </c>
      <c r="F9" s="16">
        <f>Products[[#This Row],[PackagePrice]]/Products[[#This Row],[PackageWeight_g]]</f>
        <v>0.15561111111111112</v>
      </c>
      <c r="G9" s="1">
        <v>6</v>
      </c>
    </row>
    <row r="10" spans="1:7" x14ac:dyDescent="0.55000000000000004">
      <c r="A10" s="11" t="s">
        <v>213</v>
      </c>
      <c r="B10" s="11" t="s">
        <v>125</v>
      </c>
      <c r="C10" s="13" t="s">
        <v>133</v>
      </c>
      <c r="D10" s="1">
        <v>30</v>
      </c>
      <c r="E10" s="14">
        <v>4.6683333333333339</v>
      </c>
      <c r="F10" s="16">
        <f>Products[[#This Row],[PackagePrice]]/Products[[#This Row],[PackageWeight_g]]</f>
        <v>0.15561111111111112</v>
      </c>
      <c r="G10" s="1">
        <v>6</v>
      </c>
    </row>
    <row r="11" spans="1:7" x14ac:dyDescent="0.55000000000000004">
      <c r="A11" s="11" t="s">
        <v>280</v>
      </c>
      <c r="B11" s="11" t="s">
        <v>19</v>
      </c>
      <c r="C11" s="11" t="s">
        <v>282</v>
      </c>
      <c r="D11" s="1">
        <v>1000</v>
      </c>
      <c r="E11" s="14">
        <v>7.99</v>
      </c>
      <c r="F11" s="16">
        <f>Products[[#This Row],[PackagePrice]]/Products[[#This Row],[PackageWeight_g]]</f>
        <v>7.9900000000000006E-3</v>
      </c>
      <c r="G11" s="1">
        <v>3</v>
      </c>
    </row>
    <row r="12" spans="1:7" x14ac:dyDescent="0.55000000000000004">
      <c r="A12" s="11" t="s">
        <v>252</v>
      </c>
      <c r="B12" s="11" t="s">
        <v>125</v>
      </c>
      <c r="C12" s="13" t="s">
        <v>178</v>
      </c>
      <c r="D12" s="1">
        <v>30</v>
      </c>
      <c r="E12" s="14">
        <v>4.6683333333333339</v>
      </c>
      <c r="F12" s="16">
        <f>Products[[#This Row],[PackagePrice]]/Products[[#This Row],[PackageWeight_g]]</f>
        <v>0.15561111111111112</v>
      </c>
      <c r="G12" s="1">
        <v>6</v>
      </c>
    </row>
    <row r="13" spans="1:7" x14ac:dyDescent="0.55000000000000004">
      <c r="A13" s="11" t="s">
        <v>265</v>
      </c>
      <c r="B13" s="11" t="s">
        <v>125</v>
      </c>
      <c r="C13" s="13" t="s">
        <v>191</v>
      </c>
      <c r="D13" s="1">
        <v>30</v>
      </c>
      <c r="E13" s="14">
        <v>4.6683333333333339</v>
      </c>
      <c r="F13" s="16">
        <f>Products[[#This Row],[PackagePrice]]/Products[[#This Row],[PackageWeight_g]]</f>
        <v>0.15561111111111112</v>
      </c>
      <c r="G13" s="1">
        <v>6</v>
      </c>
    </row>
    <row r="14" spans="1:7" x14ac:dyDescent="0.55000000000000004">
      <c r="A14" s="11" t="s">
        <v>220</v>
      </c>
      <c r="B14" s="11" t="s">
        <v>125</v>
      </c>
      <c r="C14" s="13" t="s">
        <v>149</v>
      </c>
      <c r="D14" s="1">
        <v>30</v>
      </c>
      <c r="E14" s="14">
        <v>4.67</v>
      </c>
      <c r="F14" s="16">
        <f>Products[[#This Row],[PackagePrice]]/Products[[#This Row],[PackageWeight_g]]</f>
        <v>0.15566666666666668</v>
      </c>
      <c r="G14" s="1">
        <v>3</v>
      </c>
    </row>
    <row r="15" spans="1:7" x14ac:dyDescent="0.55000000000000004">
      <c r="A15" s="11" t="s">
        <v>202</v>
      </c>
      <c r="B15" s="11" t="s">
        <v>125</v>
      </c>
      <c r="C15" s="13" t="s">
        <v>142</v>
      </c>
      <c r="D15" s="1">
        <v>30</v>
      </c>
      <c r="E15" s="14">
        <v>4.6685714285714282</v>
      </c>
      <c r="F15" s="16">
        <f>Products[[#This Row],[PackagePrice]]/Products[[#This Row],[PackageWeight_g]]</f>
        <v>0.1556190476190476</v>
      </c>
      <c r="G15" s="1">
        <v>7</v>
      </c>
    </row>
    <row r="16" spans="1:7" x14ac:dyDescent="0.55000000000000004">
      <c r="A16" s="11" t="s">
        <v>275</v>
      </c>
      <c r="B16" s="11" t="s">
        <v>125</v>
      </c>
      <c r="C16" s="11" t="s">
        <v>274</v>
      </c>
      <c r="D16" s="1">
        <v>30</v>
      </c>
      <c r="E16" s="14">
        <v>4.67</v>
      </c>
      <c r="F16" s="16">
        <f>Products[[#This Row],[PackagePrice]]/Products[[#This Row],[PackageWeight_g]]</f>
        <v>0.15566666666666668</v>
      </c>
      <c r="G16" s="1">
        <v>5</v>
      </c>
    </row>
    <row r="17" spans="1:7" x14ac:dyDescent="0.55000000000000004">
      <c r="A17" s="11" t="s">
        <v>221</v>
      </c>
      <c r="B17" s="11" t="s">
        <v>125</v>
      </c>
      <c r="C17" s="13" t="s">
        <v>150</v>
      </c>
      <c r="D17" s="1">
        <v>30</v>
      </c>
      <c r="E17" s="14">
        <v>4.67</v>
      </c>
      <c r="F17" s="16">
        <f>Products[[#This Row],[PackagePrice]]/Products[[#This Row],[PackageWeight_g]]</f>
        <v>0.15566666666666668</v>
      </c>
      <c r="G17" s="1">
        <v>3</v>
      </c>
    </row>
    <row r="18" spans="1:7" x14ac:dyDescent="0.55000000000000004">
      <c r="A18" s="11" t="s">
        <v>203</v>
      </c>
      <c r="B18" s="11" t="s">
        <v>125</v>
      </c>
      <c r="C18" s="13" t="s">
        <v>143</v>
      </c>
      <c r="D18" s="1">
        <v>30</v>
      </c>
      <c r="E18" s="14">
        <v>4.6685714285714282</v>
      </c>
      <c r="F18" s="16">
        <f>Products[[#This Row],[PackagePrice]]/Products[[#This Row],[PackageWeight_g]]</f>
        <v>0.1556190476190476</v>
      </c>
      <c r="G18" s="1">
        <v>7</v>
      </c>
    </row>
    <row r="19" spans="1:7" x14ac:dyDescent="0.55000000000000004">
      <c r="A19" s="11" t="s">
        <v>205</v>
      </c>
      <c r="B19" s="11" t="s">
        <v>125</v>
      </c>
      <c r="C19" s="13" t="s">
        <v>145</v>
      </c>
      <c r="D19" s="1">
        <v>30</v>
      </c>
      <c r="E19" s="14">
        <v>4.67</v>
      </c>
      <c r="F19" s="16">
        <f>Products[[#This Row],[PackagePrice]]/Products[[#This Row],[PackageWeight_g]]</f>
        <v>0.15566666666666668</v>
      </c>
      <c r="G19" s="1">
        <v>3</v>
      </c>
    </row>
    <row r="20" spans="1:7" x14ac:dyDescent="0.55000000000000004">
      <c r="A20" s="11" t="s">
        <v>237</v>
      </c>
      <c r="B20" s="11" t="s">
        <v>125</v>
      </c>
      <c r="C20" s="13" t="s">
        <v>163</v>
      </c>
      <c r="D20" s="1">
        <v>30</v>
      </c>
      <c r="E20" s="14">
        <v>4.67</v>
      </c>
      <c r="F20" s="16">
        <f>Products[[#This Row],[PackagePrice]]/Products[[#This Row],[PackageWeight_g]]</f>
        <v>0.15566666666666668</v>
      </c>
      <c r="G20" s="1">
        <v>1</v>
      </c>
    </row>
    <row r="21" spans="1:7" x14ac:dyDescent="0.55000000000000004">
      <c r="A21" s="11" t="s">
        <v>238</v>
      </c>
      <c r="B21" s="11" t="s">
        <v>125</v>
      </c>
      <c r="C21" s="13" t="s">
        <v>164</v>
      </c>
      <c r="D21" s="1">
        <v>30</v>
      </c>
      <c r="E21" s="14">
        <v>4.67</v>
      </c>
      <c r="F21" s="16">
        <f>Products[[#This Row],[PackagePrice]]/Products[[#This Row],[PackageWeight_g]]</f>
        <v>0.15566666666666668</v>
      </c>
      <c r="G21" s="1">
        <v>1</v>
      </c>
    </row>
    <row r="22" spans="1:7" x14ac:dyDescent="0.55000000000000004">
      <c r="A22" s="11" t="s">
        <v>239</v>
      </c>
      <c r="B22" s="11" t="s">
        <v>125</v>
      </c>
      <c r="C22" s="13" t="s">
        <v>165</v>
      </c>
      <c r="D22" s="1">
        <v>30</v>
      </c>
      <c r="E22" s="14">
        <v>4.67</v>
      </c>
      <c r="F22" s="16">
        <f>Products[[#This Row],[PackagePrice]]/Products[[#This Row],[PackageWeight_g]]</f>
        <v>0.15566666666666668</v>
      </c>
      <c r="G22" s="1">
        <v>1</v>
      </c>
    </row>
    <row r="23" spans="1:7" x14ac:dyDescent="0.55000000000000004">
      <c r="A23" s="11" t="s">
        <v>240</v>
      </c>
      <c r="B23" s="11" t="s">
        <v>125</v>
      </c>
      <c r="C23" s="13" t="s">
        <v>166</v>
      </c>
      <c r="D23" s="1">
        <v>30</v>
      </c>
      <c r="E23" s="14">
        <v>4.67</v>
      </c>
      <c r="F23" s="16">
        <f>Products[[#This Row],[PackagePrice]]/Products[[#This Row],[PackageWeight_g]]</f>
        <v>0.15566666666666668</v>
      </c>
      <c r="G23" s="1">
        <v>1</v>
      </c>
    </row>
    <row r="24" spans="1:7" x14ac:dyDescent="0.55000000000000004">
      <c r="A24" s="11" t="s">
        <v>243</v>
      </c>
      <c r="B24" s="11" t="s">
        <v>125</v>
      </c>
      <c r="C24" s="13" t="s">
        <v>169</v>
      </c>
      <c r="D24" s="1">
        <v>30</v>
      </c>
      <c r="E24" s="14">
        <v>4.67</v>
      </c>
      <c r="F24" s="16">
        <f>Products[[#This Row],[PackagePrice]]/Products[[#This Row],[PackageWeight_g]]</f>
        <v>0.15566666666666668</v>
      </c>
      <c r="G24" s="1">
        <v>1</v>
      </c>
    </row>
    <row r="25" spans="1:7" x14ac:dyDescent="0.55000000000000004">
      <c r="A25" s="11" t="s">
        <v>241</v>
      </c>
      <c r="B25" s="11" t="s">
        <v>125</v>
      </c>
      <c r="C25" s="13" t="s">
        <v>167</v>
      </c>
      <c r="D25" s="1">
        <v>30</v>
      </c>
      <c r="E25" s="14">
        <v>4.67</v>
      </c>
      <c r="F25" s="16">
        <f>Products[[#This Row],[PackagePrice]]/Products[[#This Row],[PackageWeight_g]]</f>
        <v>0.15566666666666668</v>
      </c>
      <c r="G25" s="1">
        <v>1</v>
      </c>
    </row>
    <row r="26" spans="1:7" x14ac:dyDescent="0.55000000000000004">
      <c r="A26" s="11" t="s">
        <v>242</v>
      </c>
      <c r="B26" s="11" t="s">
        <v>125</v>
      </c>
      <c r="C26" s="13" t="s">
        <v>168</v>
      </c>
      <c r="D26" s="1">
        <v>30</v>
      </c>
      <c r="E26" s="14">
        <v>4.67</v>
      </c>
      <c r="F26" s="16">
        <f>Products[[#This Row],[PackagePrice]]/Products[[#This Row],[PackageWeight_g]]</f>
        <v>0.15566666666666668</v>
      </c>
      <c r="G26" s="1">
        <v>1</v>
      </c>
    </row>
    <row r="27" spans="1:7" x14ac:dyDescent="0.55000000000000004">
      <c r="A27" s="11" t="s">
        <v>244</v>
      </c>
      <c r="B27" s="11" t="s">
        <v>125</v>
      </c>
      <c r="C27" s="13" t="s">
        <v>170</v>
      </c>
      <c r="D27" s="1">
        <v>30</v>
      </c>
      <c r="E27" s="14">
        <v>4.67</v>
      </c>
      <c r="F27" s="16">
        <f>Products[[#This Row],[PackagePrice]]/Products[[#This Row],[PackageWeight_g]]</f>
        <v>0.15566666666666668</v>
      </c>
      <c r="G27" s="1">
        <v>1</v>
      </c>
    </row>
    <row r="28" spans="1:7" x14ac:dyDescent="0.55000000000000004">
      <c r="A28" s="11" t="s">
        <v>281</v>
      </c>
      <c r="B28" s="11" t="s">
        <v>278</v>
      </c>
      <c r="C28" s="11" t="s">
        <v>279</v>
      </c>
      <c r="D28" s="1">
        <v>1000</v>
      </c>
      <c r="E28" s="14">
        <v>0</v>
      </c>
      <c r="F28" s="16">
        <f>Products[[#This Row],[PackagePrice]]/Products[[#This Row],[PackageWeight_g]]</f>
        <v>0</v>
      </c>
      <c r="G28" s="1">
        <v>3</v>
      </c>
    </row>
    <row r="29" spans="1:7" x14ac:dyDescent="0.55000000000000004">
      <c r="A29" s="11" t="s">
        <v>245</v>
      </c>
      <c r="B29" s="11" t="s">
        <v>125</v>
      </c>
      <c r="C29" s="13" t="s">
        <v>171</v>
      </c>
      <c r="D29" s="1">
        <v>30</v>
      </c>
      <c r="E29" s="14">
        <v>4.67</v>
      </c>
      <c r="F29" s="16">
        <f>Products[[#This Row],[PackagePrice]]/Products[[#This Row],[PackageWeight_g]]</f>
        <v>0.15566666666666668</v>
      </c>
      <c r="G29" s="1">
        <v>2</v>
      </c>
    </row>
    <row r="30" spans="1:7" x14ac:dyDescent="0.55000000000000004">
      <c r="A30" s="11" t="s">
        <v>272</v>
      </c>
      <c r="B30" s="11" t="s">
        <v>125</v>
      </c>
      <c r="C30" s="13" t="s">
        <v>273</v>
      </c>
      <c r="D30" s="1">
        <v>30</v>
      </c>
      <c r="E30" s="14">
        <v>4.67</v>
      </c>
      <c r="F30" s="16">
        <f>Products[[#This Row],[PackagePrice]]/Products[[#This Row],[PackageWeight_g]]</f>
        <v>0.15566666666666668</v>
      </c>
      <c r="G30" s="1">
        <v>3</v>
      </c>
    </row>
    <row r="31" spans="1:7" x14ac:dyDescent="0.55000000000000004">
      <c r="A31" s="11" t="s">
        <v>253</v>
      </c>
      <c r="B31" s="11" t="s">
        <v>125</v>
      </c>
      <c r="C31" s="13" t="s">
        <v>179</v>
      </c>
      <c r="D31" s="1">
        <v>30</v>
      </c>
      <c r="E31" s="14">
        <v>4.67</v>
      </c>
      <c r="F31" s="16">
        <f>Products[[#This Row],[PackagePrice]]/Products[[#This Row],[PackageWeight_g]]</f>
        <v>0.15566666666666668</v>
      </c>
      <c r="G31" s="1">
        <v>2</v>
      </c>
    </row>
    <row r="32" spans="1:7" x14ac:dyDescent="0.55000000000000004">
      <c r="A32" s="11" t="s">
        <v>283</v>
      </c>
      <c r="B32" s="11" t="s">
        <v>284</v>
      </c>
      <c r="C32" s="11" t="s">
        <v>285</v>
      </c>
      <c r="D32" s="11" t="s">
        <v>286</v>
      </c>
      <c r="E32" s="11" t="s">
        <v>287</v>
      </c>
      <c r="F32" s="16">
        <f>Products[[#This Row],[PackagePrice]]/Products[[#This Row],[PackageWeight_g]]</f>
        <v>7.9900000000000006E-3</v>
      </c>
      <c r="G32" s="11" t="s">
        <v>288</v>
      </c>
    </row>
    <row r="33" spans="1:7" x14ac:dyDescent="0.55000000000000004">
      <c r="A33" s="11" t="s">
        <v>246</v>
      </c>
      <c r="B33" s="11" t="s">
        <v>125</v>
      </c>
      <c r="C33" s="13" t="s">
        <v>172</v>
      </c>
      <c r="D33" s="1">
        <v>30</v>
      </c>
      <c r="E33" s="14">
        <v>4.6675000000000004</v>
      </c>
      <c r="F33" s="16">
        <f>Products[[#This Row],[PackagePrice]]/Products[[#This Row],[PackageWeight_g]]</f>
        <v>0.15558333333333335</v>
      </c>
      <c r="G33" s="1">
        <v>4</v>
      </c>
    </row>
    <row r="34" spans="1:7" x14ac:dyDescent="0.55000000000000004">
      <c r="A34" s="11" t="s">
        <v>254</v>
      </c>
      <c r="B34" s="11" t="s">
        <v>125</v>
      </c>
      <c r="C34" s="13" t="s">
        <v>180</v>
      </c>
      <c r="D34" s="1">
        <v>30</v>
      </c>
      <c r="E34" s="14">
        <v>4.6675000000000004</v>
      </c>
      <c r="F34" s="16">
        <f>Products[[#This Row],[PackagePrice]]/Products[[#This Row],[PackageWeight_g]]</f>
        <v>0.15558333333333335</v>
      </c>
      <c r="G34" s="1">
        <v>4</v>
      </c>
    </row>
    <row r="35" spans="1:7" x14ac:dyDescent="0.55000000000000004">
      <c r="A35" s="11" t="s">
        <v>199</v>
      </c>
      <c r="B35" s="11" t="s">
        <v>125</v>
      </c>
      <c r="C35" s="13" t="s">
        <v>139</v>
      </c>
      <c r="D35" s="1">
        <v>30</v>
      </c>
      <c r="E35" s="14">
        <v>4.67</v>
      </c>
      <c r="F35" s="16">
        <f>Products[[#This Row],[PackagePrice]]/Products[[#This Row],[PackageWeight_g]]</f>
        <v>0.15566666666666668</v>
      </c>
      <c r="G35" s="1">
        <v>3</v>
      </c>
    </row>
    <row r="36" spans="1:7" x14ac:dyDescent="0.55000000000000004">
      <c r="A36" s="11" t="s">
        <v>266</v>
      </c>
      <c r="B36" s="11" t="s">
        <v>125</v>
      </c>
      <c r="C36" s="13" t="s">
        <v>192</v>
      </c>
      <c r="D36" s="1">
        <v>30</v>
      </c>
      <c r="E36" s="14">
        <v>4.67</v>
      </c>
      <c r="F36" s="16">
        <f>Products[[#This Row],[PackagePrice]]/Products[[#This Row],[PackageWeight_g]]</f>
        <v>0.15566666666666668</v>
      </c>
      <c r="G36" s="1">
        <v>2</v>
      </c>
    </row>
    <row r="37" spans="1:7" x14ac:dyDescent="0.55000000000000004">
      <c r="A37" s="11" t="s">
        <v>247</v>
      </c>
      <c r="B37" s="11" t="s">
        <v>125</v>
      </c>
      <c r="C37" s="13" t="s">
        <v>173</v>
      </c>
      <c r="D37" s="1">
        <v>30</v>
      </c>
      <c r="E37" s="14">
        <v>4.6680000000000001</v>
      </c>
      <c r="F37" s="16">
        <f>Products[[#This Row],[PackagePrice]]/Products[[#This Row],[PackageWeight_g]]</f>
        <v>0.15560000000000002</v>
      </c>
      <c r="G37" s="1">
        <v>5</v>
      </c>
    </row>
    <row r="38" spans="1:7" x14ac:dyDescent="0.55000000000000004">
      <c r="A38" s="11" t="s">
        <v>255</v>
      </c>
      <c r="B38" s="11" t="s">
        <v>125</v>
      </c>
      <c r="C38" s="13" t="s">
        <v>181</v>
      </c>
      <c r="D38" s="1">
        <v>30</v>
      </c>
      <c r="E38" s="14">
        <v>4.6680000000000001</v>
      </c>
      <c r="F38" s="16">
        <f>Products[[#This Row],[PackagePrice]]/Products[[#This Row],[PackageWeight_g]]</f>
        <v>0.15560000000000002</v>
      </c>
      <c r="G38" s="1">
        <v>5</v>
      </c>
    </row>
    <row r="39" spans="1:7" x14ac:dyDescent="0.55000000000000004">
      <c r="A39" s="11" t="s">
        <v>260</v>
      </c>
      <c r="B39" s="11" t="s">
        <v>125</v>
      </c>
      <c r="C39" s="13" t="s">
        <v>186</v>
      </c>
      <c r="D39" s="1">
        <v>30</v>
      </c>
      <c r="E39" s="14">
        <v>4.6675000000000004</v>
      </c>
      <c r="F39" s="16">
        <f>Products[[#This Row],[PackagePrice]]/Products[[#This Row],[PackageWeight_g]]</f>
        <v>0.15558333333333335</v>
      </c>
      <c r="G39" s="1">
        <v>4</v>
      </c>
    </row>
    <row r="40" spans="1:7" x14ac:dyDescent="0.55000000000000004">
      <c r="A40" s="11" t="s">
        <v>267</v>
      </c>
      <c r="B40" s="11" t="s">
        <v>125</v>
      </c>
      <c r="C40" s="13" t="s">
        <v>193</v>
      </c>
      <c r="D40" s="1">
        <v>30</v>
      </c>
      <c r="E40" s="14">
        <v>4.67</v>
      </c>
      <c r="F40" s="16">
        <f>Products[[#This Row],[PackagePrice]]/Products[[#This Row],[PackageWeight_g]]</f>
        <v>0.15566666666666668</v>
      </c>
      <c r="G40" s="1">
        <v>3</v>
      </c>
    </row>
    <row r="41" spans="1:7" x14ac:dyDescent="0.55000000000000004">
      <c r="A41" s="11" t="s">
        <v>228</v>
      </c>
      <c r="B41" s="11" t="s">
        <v>125</v>
      </c>
      <c r="C41" s="13" t="s">
        <v>157</v>
      </c>
      <c r="D41" s="1">
        <v>30</v>
      </c>
      <c r="E41" s="14">
        <v>4.67</v>
      </c>
      <c r="F41" s="16">
        <f>Products[[#This Row],[PackagePrice]]/Products[[#This Row],[PackageWeight_g]]</f>
        <v>0.15566666666666668</v>
      </c>
      <c r="G41" s="1">
        <v>3</v>
      </c>
    </row>
    <row r="42" spans="1:7" x14ac:dyDescent="0.55000000000000004">
      <c r="A42" s="11" t="s">
        <v>215</v>
      </c>
      <c r="B42" s="11" t="s">
        <v>125</v>
      </c>
      <c r="C42" s="13" t="s">
        <v>146</v>
      </c>
      <c r="D42" s="1">
        <v>30</v>
      </c>
      <c r="E42" s="14">
        <v>4.67</v>
      </c>
      <c r="F42" s="16">
        <f>Products[[#This Row],[PackagePrice]]/Products[[#This Row],[PackageWeight_g]]</f>
        <v>0.15566666666666668</v>
      </c>
      <c r="G42" s="1">
        <v>3</v>
      </c>
    </row>
    <row r="43" spans="1:7" x14ac:dyDescent="0.55000000000000004">
      <c r="A43" s="11" t="s">
        <v>277</v>
      </c>
      <c r="B43" s="11" t="s">
        <v>19</v>
      </c>
      <c r="C43" s="11" t="s">
        <v>276</v>
      </c>
      <c r="D43" s="1">
        <v>1000</v>
      </c>
      <c r="E43" s="14">
        <v>13.68</v>
      </c>
      <c r="F43" s="16">
        <f>Products[[#This Row],[PackagePrice]]/Products[[#This Row],[PackageWeight_g]]</f>
        <v>1.3679999999999999E-2</v>
      </c>
      <c r="G43" s="1">
        <v>4</v>
      </c>
    </row>
    <row r="44" spans="1:7" x14ac:dyDescent="0.55000000000000004">
      <c r="A44" s="11" t="s">
        <v>248</v>
      </c>
      <c r="B44" s="11" t="s">
        <v>125</v>
      </c>
      <c r="C44" s="13" t="s">
        <v>174</v>
      </c>
      <c r="D44" s="1">
        <v>30</v>
      </c>
      <c r="E44" s="14">
        <v>4.6680000000000001</v>
      </c>
      <c r="F44" s="16">
        <f>Products[[#This Row],[PackagePrice]]/Products[[#This Row],[PackageWeight_g]]</f>
        <v>0.15560000000000002</v>
      </c>
      <c r="G44" s="1">
        <v>5</v>
      </c>
    </row>
    <row r="45" spans="1:7" x14ac:dyDescent="0.55000000000000004">
      <c r="A45" s="11" t="s">
        <v>256</v>
      </c>
      <c r="B45" s="11" t="s">
        <v>125</v>
      </c>
      <c r="C45" s="13" t="s">
        <v>182</v>
      </c>
      <c r="D45" s="1">
        <v>30</v>
      </c>
      <c r="E45" s="14">
        <v>4.6680000000000001</v>
      </c>
      <c r="F45" s="16">
        <f>Products[[#This Row],[PackagePrice]]/Products[[#This Row],[PackageWeight_g]]</f>
        <v>0.15560000000000002</v>
      </c>
      <c r="G45" s="1">
        <v>5</v>
      </c>
    </row>
    <row r="46" spans="1:7" x14ac:dyDescent="0.55000000000000004">
      <c r="A46" s="11" t="s">
        <v>232</v>
      </c>
      <c r="B46" s="11" t="s">
        <v>125</v>
      </c>
      <c r="C46" s="13" t="s">
        <v>161</v>
      </c>
      <c r="D46" s="1">
        <v>30</v>
      </c>
      <c r="E46" s="14">
        <v>4.67</v>
      </c>
      <c r="F46" s="16">
        <f>Products[[#This Row],[PackagePrice]]/Products[[#This Row],[PackageWeight_g]]</f>
        <v>0.15566666666666668</v>
      </c>
      <c r="G46" s="1">
        <v>3</v>
      </c>
    </row>
    <row r="47" spans="1:7" x14ac:dyDescent="0.55000000000000004">
      <c r="A47" s="11" t="s">
        <v>233</v>
      </c>
      <c r="B47" s="11" t="s">
        <v>125</v>
      </c>
      <c r="C47" s="13" t="s">
        <v>137</v>
      </c>
      <c r="D47" s="1">
        <v>30</v>
      </c>
      <c r="E47" s="14">
        <v>4.67</v>
      </c>
      <c r="F47" s="16">
        <f>Products[[#This Row],[PackagePrice]]/Products[[#This Row],[PackageWeight_g]]</f>
        <v>0.15566666666666668</v>
      </c>
      <c r="G47" s="1">
        <v>3</v>
      </c>
    </row>
    <row r="48" spans="1:7" x14ac:dyDescent="0.55000000000000004">
      <c r="A48" s="11" t="s">
        <v>261</v>
      </c>
      <c r="B48" s="11" t="s">
        <v>125</v>
      </c>
      <c r="C48" s="13" t="s">
        <v>187</v>
      </c>
      <c r="D48" s="1">
        <v>30</v>
      </c>
      <c r="E48" s="14">
        <v>4.6675000000000004</v>
      </c>
      <c r="F48" s="16">
        <f>Products[[#This Row],[PackagePrice]]/Products[[#This Row],[PackageWeight_g]]</f>
        <v>0.15558333333333335</v>
      </c>
      <c r="G48" s="1">
        <v>4</v>
      </c>
    </row>
    <row r="49" spans="1:7" x14ac:dyDescent="0.55000000000000004">
      <c r="A49" s="11" t="s">
        <v>268</v>
      </c>
      <c r="B49" s="11" t="s">
        <v>125</v>
      </c>
      <c r="C49" s="13" t="s">
        <v>194</v>
      </c>
      <c r="D49" s="1">
        <v>30</v>
      </c>
      <c r="E49" s="14">
        <v>4.67</v>
      </c>
      <c r="F49" s="16">
        <f>Products[[#This Row],[PackagePrice]]/Products[[#This Row],[PackageWeight_g]]</f>
        <v>0.15566666666666668</v>
      </c>
      <c r="G49" s="1">
        <v>3</v>
      </c>
    </row>
    <row r="50" spans="1:7" x14ac:dyDescent="0.55000000000000004">
      <c r="A50" s="11" t="s">
        <v>224</v>
      </c>
      <c r="B50" s="11" t="s">
        <v>125</v>
      </c>
      <c r="C50" s="13" t="s">
        <v>153</v>
      </c>
      <c r="D50" s="1">
        <v>30</v>
      </c>
      <c r="E50" s="14">
        <v>4.67</v>
      </c>
      <c r="F50" s="16">
        <f>Products[[#This Row],[PackagePrice]]/Products[[#This Row],[PackageWeight_g]]</f>
        <v>0.15566666666666668</v>
      </c>
      <c r="G50" s="1">
        <v>1</v>
      </c>
    </row>
    <row r="51" spans="1:7" x14ac:dyDescent="0.55000000000000004">
      <c r="A51" s="11" t="s">
        <v>227</v>
      </c>
      <c r="B51" s="11" t="s">
        <v>125</v>
      </c>
      <c r="C51" s="13" t="s">
        <v>156</v>
      </c>
      <c r="D51" s="1">
        <v>30</v>
      </c>
      <c r="E51" s="14">
        <v>4.67</v>
      </c>
      <c r="F51" s="16">
        <f>Products[[#This Row],[PackagePrice]]/Products[[#This Row],[PackageWeight_g]]</f>
        <v>0.15566666666666668</v>
      </c>
      <c r="G51" s="1">
        <v>3</v>
      </c>
    </row>
    <row r="52" spans="1:7" x14ac:dyDescent="0.55000000000000004">
      <c r="A52" s="11" t="s">
        <v>226</v>
      </c>
      <c r="B52" s="11" t="s">
        <v>125</v>
      </c>
      <c r="C52" s="13" t="s">
        <v>155</v>
      </c>
      <c r="D52" s="1">
        <v>30</v>
      </c>
      <c r="E52" s="14">
        <v>4.67</v>
      </c>
      <c r="F52" s="16">
        <f>Products[[#This Row],[PackagePrice]]/Products[[#This Row],[PackageWeight_g]]</f>
        <v>0.15566666666666668</v>
      </c>
      <c r="G52" s="1">
        <v>1</v>
      </c>
    </row>
    <row r="53" spans="1:7" x14ac:dyDescent="0.55000000000000004">
      <c r="A53" s="11" t="s">
        <v>201</v>
      </c>
      <c r="B53" s="11" t="s">
        <v>125</v>
      </c>
      <c r="C53" s="13" t="s">
        <v>141</v>
      </c>
      <c r="D53" s="1">
        <v>30</v>
      </c>
      <c r="E53" s="14">
        <v>4.6675000000000004</v>
      </c>
      <c r="F53" s="16">
        <f>Products[[#This Row],[PackagePrice]]/Products[[#This Row],[PackageWeight_g]]</f>
        <v>0.15558333333333335</v>
      </c>
      <c r="G53" s="1">
        <v>4</v>
      </c>
    </row>
    <row r="54" spans="1:7" x14ac:dyDescent="0.55000000000000004">
      <c r="A54" s="11" t="s">
        <v>231</v>
      </c>
      <c r="B54" s="11" t="s">
        <v>125</v>
      </c>
      <c r="C54" s="13" t="s">
        <v>160</v>
      </c>
      <c r="D54" s="1">
        <v>30</v>
      </c>
      <c r="E54" s="14">
        <v>4.67</v>
      </c>
      <c r="F54" s="16">
        <f>Products[[#This Row],[PackagePrice]]/Products[[#This Row],[PackageWeight_g]]</f>
        <v>0.15566666666666668</v>
      </c>
      <c r="G54" s="1">
        <v>3</v>
      </c>
    </row>
    <row r="55" spans="1:7" x14ac:dyDescent="0.55000000000000004">
      <c r="A55" s="11" t="s">
        <v>234</v>
      </c>
      <c r="B55" s="11" t="s">
        <v>125</v>
      </c>
      <c r="C55" s="13" t="s">
        <v>138</v>
      </c>
      <c r="D55" s="1">
        <v>30</v>
      </c>
      <c r="E55" s="14">
        <v>4.67</v>
      </c>
      <c r="F55" s="16">
        <f>Products[[#This Row],[PackagePrice]]/Products[[#This Row],[PackageWeight_g]]</f>
        <v>0.15566666666666668</v>
      </c>
      <c r="G55" s="1">
        <v>3</v>
      </c>
    </row>
    <row r="56" spans="1:7" x14ac:dyDescent="0.55000000000000004">
      <c r="A56" s="11" t="s">
        <v>249</v>
      </c>
      <c r="B56" s="11" t="s">
        <v>125</v>
      </c>
      <c r="C56" s="13" t="s">
        <v>175</v>
      </c>
      <c r="D56" s="1">
        <v>30</v>
      </c>
      <c r="E56" s="14">
        <v>4.6683333333333339</v>
      </c>
      <c r="F56" s="16">
        <f>Products[[#This Row],[PackagePrice]]/Products[[#This Row],[PackageWeight_g]]</f>
        <v>0.15561111111111112</v>
      </c>
      <c r="G56" s="1">
        <v>6</v>
      </c>
    </row>
    <row r="57" spans="1:7" x14ac:dyDescent="0.55000000000000004">
      <c r="A57" s="11" t="s">
        <v>257</v>
      </c>
      <c r="B57" s="11" t="s">
        <v>125</v>
      </c>
      <c r="C57" s="13" t="s">
        <v>183</v>
      </c>
      <c r="D57" s="1">
        <v>30</v>
      </c>
      <c r="E57" s="14">
        <v>4.6683333333333339</v>
      </c>
      <c r="F57" s="16">
        <f>Products[[#This Row],[PackagePrice]]/Products[[#This Row],[PackageWeight_g]]</f>
        <v>0.15561111111111112</v>
      </c>
      <c r="G57" s="1">
        <v>6</v>
      </c>
    </row>
    <row r="58" spans="1:7" x14ac:dyDescent="0.55000000000000004">
      <c r="A58" s="11" t="s">
        <v>262</v>
      </c>
      <c r="B58" s="11" t="s">
        <v>125</v>
      </c>
      <c r="C58" s="13" t="s">
        <v>188</v>
      </c>
      <c r="D58" s="1">
        <v>30</v>
      </c>
      <c r="E58" s="14">
        <v>4.6680000000000001</v>
      </c>
      <c r="F58" s="16">
        <f>Products[[#This Row],[PackagePrice]]/Products[[#This Row],[PackageWeight_g]]</f>
        <v>0.15560000000000002</v>
      </c>
      <c r="G58" s="1">
        <v>5</v>
      </c>
    </row>
    <row r="59" spans="1:7" x14ac:dyDescent="0.55000000000000004">
      <c r="A59" s="11" t="s">
        <v>269</v>
      </c>
      <c r="B59" s="11" t="s">
        <v>125</v>
      </c>
      <c r="C59" s="13" t="s">
        <v>195</v>
      </c>
      <c r="D59" s="1">
        <v>30</v>
      </c>
      <c r="E59" s="14">
        <v>4.6680000000000001</v>
      </c>
      <c r="F59" s="16">
        <f>Products[[#This Row],[PackagePrice]]/Products[[#This Row],[PackageWeight_g]]</f>
        <v>0.15560000000000002</v>
      </c>
      <c r="G59" s="1">
        <v>5</v>
      </c>
    </row>
    <row r="60" spans="1:7" x14ac:dyDescent="0.55000000000000004">
      <c r="A60" s="11" t="s">
        <v>222</v>
      </c>
      <c r="B60" s="11" t="s">
        <v>125</v>
      </c>
      <c r="C60" s="13" t="s">
        <v>151</v>
      </c>
      <c r="D60" s="1">
        <v>30</v>
      </c>
      <c r="E60" s="14">
        <v>4.67</v>
      </c>
      <c r="F60" s="16">
        <f>Products[[#This Row],[PackagePrice]]/Products[[#This Row],[PackageWeight_g]]</f>
        <v>0.15566666666666668</v>
      </c>
      <c r="G60" s="1">
        <v>3</v>
      </c>
    </row>
    <row r="61" spans="1:7" x14ac:dyDescent="0.55000000000000004">
      <c r="A61" s="11" t="s">
        <v>229</v>
      </c>
      <c r="B61" s="11" t="s">
        <v>125</v>
      </c>
      <c r="C61" s="13" t="s">
        <v>158</v>
      </c>
      <c r="D61" s="1">
        <v>30</v>
      </c>
      <c r="E61" s="14">
        <v>4.67</v>
      </c>
      <c r="F61" s="16">
        <f>Products[[#This Row],[PackagePrice]]/Products[[#This Row],[PackageWeight_g]]</f>
        <v>0.15566666666666668</v>
      </c>
      <c r="G61" s="1">
        <v>3</v>
      </c>
    </row>
    <row r="62" spans="1:7" x14ac:dyDescent="0.55000000000000004">
      <c r="A62" s="11" t="s">
        <v>225</v>
      </c>
      <c r="B62" s="11" t="s">
        <v>125</v>
      </c>
      <c r="C62" s="13" t="s">
        <v>154</v>
      </c>
      <c r="D62" s="1">
        <v>30</v>
      </c>
      <c r="E62" s="14">
        <v>4.67</v>
      </c>
      <c r="F62" s="16">
        <f>Products[[#This Row],[PackagePrice]]/Products[[#This Row],[PackageWeight_g]]</f>
        <v>0.15566666666666668</v>
      </c>
      <c r="G62" s="1">
        <v>2</v>
      </c>
    </row>
    <row r="63" spans="1:7" x14ac:dyDescent="0.55000000000000004">
      <c r="A63" s="11" t="s">
        <v>200</v>
      </c>
      <c r="B63" s="11" t="s">
        <v>125</v>
      </c>
      <c r="C63" s="13" t="s">
        <v>140</v>
      </c>
      <c r="D63" s="1">
        <v>30</v>
      </c>
      <c r="E63" s="14">
        <v>4.6680000000000001</v>
      </c>
      <c r="F63" s="16">
        <f>Products[[#This Row],[PackagePrice]]/Products[[#This Row],[PackageWeight_g]]</f>
        <v>0.15560000000000002</v>
      </c>
      <c r="G63" s="1">
        <v>5</v>
      </c>
    </row>
    <row r="64" spans="1:7" x14ac:dyDescent="0.55000000000000004">
      <c r="A64" s="11" t="s">
        <v>235</v>
      </c>
      <c r="B64" s="11" t="s">
        <v>125</v>
      </c>
      <c r="C64" s="13" t="s">
        <v>162</v>
      </c>
      <c r="D64" s="1">
        <v>30</v>
      </c>
      <c r="E64" s="14">
        <v>4.67</v>
      </c>
      <c r="F64" s="16">
        <f>Products[[#This Row],[PackagePrice]]/Products[[#This Row],[PackageWeight_g]]</f>
        <v>0.15566666666666668</v>
      </c>
      <c r="G64" s="1">
        <v>3</v>
      </c>
    </row>
    <row r="65" spans="1:7" x14ac:dyDescent="0.55000000000000004">
      <c r="A65" s="11" t="s">
        <v>250</v>
      </c>
      <c r="B65" s="11" t="s">
        <v>125</v>
      </c>
      <c r="C65" s="13" t="s">
        <v>176</v>
      </c>
      <c r="D65" s="1">
        <v>30</v>
      </c>
      <c r="E65" s="14">
        <v>4.6683333333333339</v>
      </c>
      <c r="F65" s="16">
        <f>Products[[#This Row],[PackagePrice]]/Products[[#This Row],[PackageWeight_g]]</f>
        <v>0.15561111111111112</v>
      </c>
      <c r="G65" s="1">
        <v>6</v>
      </c>
    </row>
    <row r="66" spans="1:7" x14ac:dyDescent="0.55000000000000004">
      <c r="A66" s="11" t="s">
        <v>258</v>
      </c>
      <c r="B66" s="11" t="s">
        <v>125</v>
      </c>
      <c r="C66" s="13" t="s">
        <v>184</v>
      </c>
      <c r="D66" s="1">
        <v>30</v>
      </c>
      <c r="E66" s="14">
        <v>4.6683333333333339</v>
      </c>
      <c r="F66" s="16">
        <f>Products[[#This Row],[PackagePrice]]/Products[[#This Row],[PackageWeight_g]]</f>
        <v>0.15561111111111112</v>
      </c>
      <c r="G66" s="1">
        <v>6</v>
      </c>
    </row>
    <row r="67" spans="1:7" x14ac:dyDescent="0.55000000000000004">
      <c r="A67" s="11" t="s">
        <v>263</v>
      </c>
      <c r="B67" s="11" t="s">
        <v>125</v>
      </c>
      <c r="C67" s="13" t="s">
        <v>189</v>
      </c>
      <c r="D67" s="1">
        <v>30</v>
      </c>
      <c r="E67" s="14">
        <v>4.6680000000000001</v>
      </c>
      <c r="F67" s="16">
        <f>Products[[#This Row],[PackagePrice]]/Products[[#This Row],[PackageWeight_g]]</f>
        <v>0.15560000000000002</v>
      </c>
      <c r="G67" s="1">
        <v>5</v>
      </c>
    </row>
    <row r="68" spans="1:7" x14ac:dyDescent="0.55000000000000004">
      <c r="A68" s="11" t="s">
        <v>310</v>
      </c>
      <c r="B68" s="11" t="s">
        <v>311</v>
      </c>
      <c r="C68" s="11" t="s">
        <v>312</v>
      </c>
      <c r="D68" s="1">
        <v>60</v>
      </c>
      <c r="E68" s="14">
        <v>1</v>
      </c>
      <c r="F68" s="16">
        <f>Products[[#This Row],[PackagePrice]]/Products[[#This Row],[PackageWeight_g]]</f>
        <v>1.6666666666666666E-2</v>
      </c>
      <c r="G68" s="1">
        <v>1</v>
      </c>
    </row>
    <row r="69" spans="1:7" x14ac:dyDescent="0.55000000000000004">
      <c r="A69" s="11" t="s">
        <v>219</v>
      </c>
      <c r="B69" s="11" t="s">
        <v>125</v>
      </c>
      <c r="C69" s="13" t="s">
        <v>148</v>
      </c>
      <c r="D69" s="1">
        <v>30</v>
      </c>
      <c r="E69" s="14">
        <v>4.67</v>
      </c>
      <c r="F69" s="16">
        <f>Products[[#This Row],[PackagePrice]]/Products[[#This Row],[PackageWeight_g]]</f>
        <v>0.15566666666666668</v>
      </c>
      <c r="G69" s="1">
        <v>2</v>
      </c>
    </row>
    <row r="70" spans="1:7" x14ac:dyDescent="0.55000000000000004">
      <c r="A70" s="11" t="s">
        <v>313</v>
      </c>
      <c r="B70" s="11" t="s">
        <v>311</v>
      </c>
      <c r="C70" s="11" t="s">
        <v>314</v>
      </c>
      <c r="D70" s="1">
        <v>60</v>
      </c>
      <c r="E70" s="14">
        <v>1</v>
      </c>
      <c r="F70" s="16">
        <f>Products[[#This Row],[PackagePrice]]/Products[[#This Row],[PackageWeight_g]]</f>
        <v>1.6666666666666666E-2</v>
      </c>
      <c r="G70" s="1">
        <v>2</v>
      </c>
    </row>
    <row r="71" spans="1:7" x14ac:dyDescent="0.55000000000000004">
      <c r="A71" s="11" t="s">
        <v>270</v>
      </c>
      <c r="B71" s="11" t="s">
        <v>125</v>
      </c>
      <c r="C71" s="13" t="s">
        <v>196</v>
      </c>
      <c r="D71" s="1">
        <v>30</v>
      </c>
      <c r="E71" s="14">
        <v>4.6680000000000001</v>
      </c>
      <c r="F71" s="16">
        <f>Products[[#This Row],[PackagePrice]]/Products[[#This Row],[PackageWeight_g]]</f>
        <v>0.15560000000000002</v>
      </c>
      <c r="G71" s="1">
        <v>5</v>
      </c>
    </row>
    <row r="72" spans="1:7" x14ac:dyDescent="0.55000000000000004">
      <c r="A72" s="11" t="s">
        <v>223</v>
      </c>
      <c r="B72" s="11" t="s">
        <v>125</v>
      </c>
      <c r="C72" s="13" t="s">
        <v>152</v>
      </c>
      <c r="D72" s="1">
        <v>30</v>
      </c>
      <c r="E72" s="14">
        <v>4.67</v>
      </c>
      <c r="F72" s="16">
        <f>Products[[#This Row],[PackagePrice]]/Products[[#This Row],[PackageWeight_g]]</f>
        <v>0.15566666666666668</v>
      </c>
      <c r="G72" s="1">
        <v>3</v>
      </c>
    </row>
    <row r="73" spans="1:7" x14ac:dyDescent="0.55000000000000004">
      <c r="A73" s="11" t="s">
        <v>230</v>
      </c>
      <c r="B73" s="11" t="s">
        <v>125</v>
      </c>
      <c r="C73" s="13" t="s">
        <v>159</v>
      </c>
      <c r="D73" s="1">
        <v>30</v>
      </c>
      <c r="E73" s="14">
        <v>4.67</v>
      </c>
      <c r="F73" s="16">
        <f>Products[[#This Row],[PackagePrice]]/Products[[#This Row],[PackageWeight_g]]</f>
        <v>0.15566666666666668</v>
      </c>
      <c r="G73" s="1">
        <v>2</v>
      </c>
    </row>
    <row r="74" spans="1:7" x14ac:dyDescent="0.55000000000000004">
      <c r="A74" s="11" t="s">
        <v>218</v>
      </c>
      <c r="B74" s="11" t="s">
        <v>125</v>
      </c>
      <c r="C74" s="13" t="s">
        <v>147</v>
      </c>
      <c r="D74" s="1">
        <v>30</v>
      </c>
      <c r="E74" s="14">
        <v>4.67</v>
      </c>
      <c r="F74" s="16">
        <f>Products[[#This Row],[PackagePrice]]/Products[[#This Row],[PackageWeight_g]]</f>
        <v>0.15566666666666668</v>
      </c>
      <c r="G74" s="1">
        <v>3</v>
      </c>
    </row>
    <row r="75" spans="1:7" x14ac:dyDescent="0.55000000000000004">
      <c r="A75" s="11" t="s">
        <v>289</v>
      </c>
      <c r="B75" s="11" t="s">
        <v>19</v>
      </c>
      <c r="C75" s="11" t="s">
        <v>290</v>
      </c>
      <c r="D75" s="1">
        <v>1000</v>
      </c>
      <c r="E75" s="14">
        <v>9.69</v>
      </c>
      <c r="F75" s="16">
        <f>Products[[#This Row],[PackagePrice]]/Products[[#This Row],[PackageWeight_g]]</f>
        <v>9.689999999999999E-3</v>
      </c>
      <c r="G75" s="1">
        <v>1</v>
      </c>
    </row>
    <row r="76" spans="1:7" x14ac:dyDescent="0.55000000000000004">
      <c r="A76" s="11" t="s">
        <v>251</v>
      </c>
      <c r="B76" s="11" t="s">
        <v>125</v>
      </c>
      <c r="C76" s="13" t="s">
        <v>177</v>
      </c>
      <c r="D76" s="1">
        <v>30</v>
      </c>
      <c r="E76" s="14">
        <v>4.6683333333333339</v>
      </c>
      <c r="F76" s="16">
        <f>Products[[#This Row],[PackagePrice]]/Products[[#This Row],[PackageWeight_g]]</f>
        <v>0.15561111111111112</v>
      </c>
      <c r="G76" s="1">
        <v>6</v>
      </c>
    </row>
    <row r="77" spans="1:7" x14ac:dyDescent="0.55000000000000004">
      <c r="A77" s="11" t="s">
        <v>259</v>
      </c>
      <c r="B77" s="11" t="s">
        <v>125</v>
      </c>
      <c r="C77" s="13" t="s">
        <v>185</v>
      </c>
      <c r="D77" s="1">
        <v>30</v>
      </c>
      <c r="E77" s="14">
        <v>4.6683333333333339</v>
      </c>
      <c r="F77" s="16">
        <f>Products[[#This Row],[PackagePrice]]/Products[[#This Row],[PackageWeight_g]]</f>
        <v>0.15561111111111112</v>
      </c>
      <c r="G77" s="1">
        <v>6</v>
      </c>
    </row>
    <row r="78" spans="1:7" x14ac:dyDescent="0.55000000000000004">
      <c r="A78" s="11" t="s">
        <v>264</v>
      </c>
      <c r="B78" s="11" t="s">
        <v>125</v>
      </c>
      <c r="C78" s="13" t="s">
        <v>190</v>
      </c>
      <c r="D78" s="1">
        <v>30</v>
      </c>
      <c r="E78" s="14">
        <v>4.6683333333333339</v>
      </c>
      <c r="F78" s="16">
        <f>Products[[#This Row],[PackagePrice]]/Products[[#This Row],[PackageWeight_g]]</f>
        <v>0.15561111111111112</v>
      </c>
      <c r="G78" s="1">
        <v>6</v>
      </c>
    </row>
    <row r="79" spans="1:7" s="11" customFormat="1" x14ac:dyDescent="0.55000000000000004">
      <c r="A79" s="11" t="s">
        <v>271</v>
      </c>
      <c r="B79" s="11" t="s">
        <v>125</v>
      </c>
      <c r="C79" s="13" t="s">
        <v>197</v>
      </c>
      <c r="D79" s="1">
        <v>30</v>
      </c>
      <c r="E79" s="14">
        <v>4.6680000000000001</v>
      </c>
      <c r="F79" s="16">
        <f>Products[[#This Row],[PackagePrice]]/Products[[#This Row],[PackageWeight_g]]</f>
        <v>0.15560000000000002</v>
      </c>
      <c r="G79" s="1">
        <v>5</v>
      </c>
    </row>
    <row r="80" spans="1:7" x14ac:dyDescent="0.55000000000000004">
      <c r="A80" s="11" t="s">
        <v>325</v>
      </c>
      <c r="B80" s="11" t="s">
        <v>326</v>
      </c>
      <c r="C80" s="11" t="s">
        <v>327</v>
      </c>
      <c r="D80" s="1">
        <v>500</v>
      </c>
      <c r="E80" s="14">
        <v>12.42</v>
      </c>
      <c r="F80" s="16">
        <f>Products[[#This Row],[PackagePrice]]/Products[[#This Row],[PackageWeight_g]]</f>
        <v>2.4840000000000001E-2</v>
      </c>
      <c r="G80" s="1">
        <v>1</v>
      </c>
    </row>
    <row r="81" spans="1:7" x14ac:dyDescent="0.55000000000000004">
      <c r="A81" s="11" t="s">
        <v>322</v>
      </c>
      <c r="B81" s="11" t="s">
        <v>320</v>
      </c>
      <c r="C81" s="11" t="s">
        <v>321</v>
      </c>
      <c r="D81" s="1">
        <v>500</v>
      </c>
      <c r="E81" s="14">
        <v>8.17</v>
      </c>
      <c r="F81" s="16">
        <f>Products[[#This Row],[PackagePrice]]/Products[[#This Row],[PackageWeight_g]]</f>
        <v>1.634E-2</v>
      </c>
      <c r="G81" s="1">
        <v>4</v>
      </c>
    </row>
    <row r="82" spans="1:7" x14ac:dyDescent="0.55000000000000004">
      <c r="A82" s="11" t="s">
        <v>328</v>
      </c>
      <c r="B82" s="11" t="s">
        <v>329</v>
      </c>
      <c r="C82" s="11" t="s">
        <v>331</v>
      </c>
      <c r="D82" s="1">
        <v>300</v>
      </c>
      <c r="E82" s="14">
        <v>7.84</v>
      </c>
      <c r="F82" s="16">
        <f>Products[[#This Row],[PackagePrice]]/Products[[#This Row],[PackageWeight_g]]</f>
        <v>2.6133333333333331E-2</v>
      </c>
      <c r="G82" s="1">
        <v>1</v>
      </c>
    </row>
    <row r="83" spans="1:7" x14ac:dyDescent="0.55000000000000004">
      <c r="A83" s="11" t="s">
        <v>297</v>
      </c>
      <c r="B83" s="11" t="s">
        <v>295</v>
      </c>
      <c r="C83" s="11" t="s">
        <v>298</v>
      </c>
      <c r="D83" s="1">
        <v>1000</v>
      </c>
      <c r="E83" s="14">
        <v>24.59</v>
      </c>
      <c r="F83" s="16">
        <f>Products[[#This Row],[PackagePrice]]/Products[[#This Row],[PackageWeight_g]]</f>
        <v>2.4590000000000001E-2</v>
      </c>
      <c r="G83" s="1">
        <v>2</v>
      </c>
    </row>
    <row r="84" spans="1:7" x14ac:dyDescent="0.55000000000000004">
      <c r="A84" s="11" t="s">
        <v>299</v>
      </c>
      <c r="B84" s="11" t="s">
        <v>295</v>
      </c>
      <c r="C84" s="11" t="s">
        <v>300</v>
      </c>
      <c r="D84" s="1">
        <v>400</v>
      </c>
      <c r="E84" s="14">
        <v>26.74</v>
      </c>
      <c r="F84" s="16">
        <f>Products[[#This Row],[PackagePrice]]/Products[[#This Row],[PackageWeight_g]]</f>
        <v>6.6849999999999993E-2</v>
      </c>
      <c r="G84" s="1">
        <v>3</v>
      </c>
    </row>
    <row r="85" spans="1:7" x14ac:dyDescent="0.55000000000000004">
      <c r="A85" s="11" t="s">
        <v>294</v>
      </c>
      <c r="B85" s="11" t="s">
        <v>301</v>
      </c>
      <c r="C85" s="11" t="s">
        <v>296</v>
      </c>
      <c r="D85" s="1">
        <v>1000</v>
      </c>
      <c r="E85" s="14">
        <v>16.989999999999998</v>
      </c>
      <c r="F85" s="16">
        <f>Products[[#This Row],[PackagePrice]]/Products[[#This Row],[PackageWeight_g]]</f>
        <v>1.6989999999999998E-2</v>
      </c>
      <c r="G85" s="1">
        <v>1</v>
      </c>
    </row>
    <row r="86" spans="1:7" x14ac:dyDescent="0.55000000000000004">
      <c r="A86" s="11" t="s">
        <v>328</v>
      </c>
      <c r="B86" s="11" t="s">
        <v>329</v>
      </c>
      <c r="C86" s="11" t="s">
        <v>330</v>
      </c>
      <c r="D86" s="1">
        <v>300</v>
      </c>
      <c r="E86" s="14">
        <v>7.84</v>
      </c>
      <c r="F86" s="16">
        <f>Products[[#This Row],[PackagePrice]]/Products[[#This Row],[PackageWeight_g]]</f>
        <v>2.6133333333333331E-2</v>
      </c>
      <c r="G86" s="1">
        <v>1</v>
      </c>
    </row>
    <row r="87" spans="1:7" x14ac:dyDescent="0.55000000000000004">
      <c r="A87" s="11" t="s">
        <v>308</v>
      </c>
      <c r="B87" s="11" t="s">
        <v>307</v>
      </c>
      <c r="C87" s="11" t="s">
        <v>309</v>
      </c>
      <c r="D87" s="1">
        <v>1000</v>
      </c>
      <c r="E87" s="14">
        <v>5</v>
      </c>
      <c r="F87" s="16">
        <f>Products[[#This Row],[PackagePrice]]/Products[[#This Row],[PackageWeight_g]]</f>
        <v>5.0000000000000001E-3</v>
      </c>
      <c r="G87" s="1">
        <v>1</v>
      </c>
    </row>
    <row r="88" spans="1:7" x14ac:dyDescent="0.55000000000000004">
      <c r="A88" s="11" t="s">
        <v>328</v>
      </c>
      <c r="B88" s="11" t="s">
        <v>329</v>
      </c>
      <c r="C88" s="11" t="s">
        <v>332</v>
      </c>
      <c r="D88" s="1">
        <v>300</v>
      </c>
      <c r="E88" s="14">
        <v>7.84</v>
      </c>
      <c r="F88" s="16">
        <f>Products[[#This Row],[PackagePrice]]/Products[[#This Row],[PackageWeight_g]]</f>
        <v>2.6133333333333331E-2</v>
      </c>
      <c r="G88" s="1">
        <v>1</v>
      </c>
    </row>
    <row r="89" spans="1:7" x14ac:dyDescent="0.55000000000000004">
      <c r="A89" s="11" t="s">
        <v>292</v>
      </c>
      <c r="B89" s="11" t="s">
        <v>291</v>
      </c>
      <c r="C89" s="11" t="s">
        <v>293</v>
      </c>
      <c r="D89" s="1">
        <v>1000</v>
      </c>
      <c r="E89" s="14">
        <v>16.489999999999998</v>
      </c>
      <c r="F89" s="16">
        <f>Products[[#This Row],[PackagePrice]]/Products[[#This Row],[PackageWeight_g]]</f>
        <v>1.6489999999999998E-2</v>
      </c>
      <c r="G89" s="1">
        <v>1</v>
      </c>
    </row>
    <row r="90" spans="1:7" x14ac:dyDescent="0.55000000000000004">
      <c r="A90" s="11" t="s">
        <v>328</v>
      </c>
      <c r="B90" s="11" t="s">
        <v>329</v>
      </c>
      <c r="C90" s="11" t="s">
        <v>333</v>
      </c>
      <c r="D90" s="1">
        <v>300</v>
      </c>
      <c r="E90" s="14">
        <v>7.84</v>
      </c>
      <c r="F90" s="16">
        <f>Products[[#This Row],[PackagePrice]]/Products[[#This Row],[PackageWeight_g]]</f>
        <v>2.6133333333333331E-2</v>
      </c>
      <c r="G90" s="1">
        <v>1</v>
      </c>
    </row>
    <row r="91" spans="1:7" x14ac:dyDescent="0.55000000000000004">
      <c r="A91" s="11" t="s">
        <v>318</v>
      </c>
      <c r="B91" s="11" t="s">
        <v>316</v>
      </c>
      <c r="C91" s="11" t="s">
        <v>319</v>
      </c>
      <c r="D91" s="1">
        <v>15</v>
      </c>
      <c r="E91" s="14">
        <v>6.15</v>
      </c>
      <c r="F91" s="16">
        <f>Products[[#This Row],[PackagePrice]]/Products[[#This Row],[PackageWeight_g]]</f>
        <v>0.41000000000000003</v>
      </c>
      <c r="G91" s="1">
        <v>2</v>
      </c>
    </row>
    <row r="92" spans="1:7" x14ac:dyDescent="0.55000000000000004">
      <c r="A92" s="11" t="s">
        <v>217</v>
      </c>
      <c r="B92" s="11" t="s">
        <v>125</v>
      </c>
      <c r="C92" s="13" t="s">
        <v>136</v>
      </c>
      <c r="D92" s="1">
        <v>30</v>
      </c>
      <c r="E92" s="14">
        <v>4.67</v>
      </c>
      <c r="F92" s="16">
        <f>Products[[#This Row],[PackagePrice]]/Products[[#This Row],[PackageWeight_g]]</f>
        <v>0.15566666666666668</v>
      </c>
      <c r="G92" s="1">
        <v>2</v>
      </c>
    </row>
    <row r="93" spans="1:7" x14ac:dyDescent="0.55000000000000004">
      <c r="A93" s="11" t="s">
        <v>216</v>
      </c>
      <c r="B93" s="11" t="s">
        <v>125</v>
      </c>
      <c r="C93" s="13" t="s">
        <v>135</v>
      </c>
      <c r="D93" s="1">
        <v>30</v>
      </c>
      <c r="E93" s="14">
        <v>4.67</v>
      </c>
      <c r="F93" s="16">
        <f>Products[[#This Row],[PackagePrice]]/Products[[#This Row],[PackageWeight_g]]</f>
        <v>0.15566666666666668</v>
      </c>
      <c r="G93" s="1">
        <v>2</v>
      </c>
    </row>
    <row r="94" spans="1:7" x14ac:dyDescent="0.55000000000000004">
      <c r="A94" s="11" t="s">
        <v>303</v>
      </c>
      <c r="B94" s="11" t="s">
        <v>302</v>
      </c>
      <c r="C94" s="11" t="s">
        <v>304</v>
      </c>
      <c r="D94" s="1">
        <v>1000</v>
      </c>
      <c r="E94" s="14">
        <v>5</v>
      </c>
      <c r="F94" s="16">
        <f>Products[[#This Row],[PackagePrice]]/Products[[#This Row],[PackageWeight_g]]</f>
        <v>5.0000000000000001E-3</v>
      </c>
      <c r="G94" s="1">
        <v>1</v>
      </c>
    </row>
    <row r="95" spans="1:7" x14ac:dyDescent="0.55000000000000004">
      <c r="A95" s="11" t="s">
        <v>305</v>
      </c>
      <c r="B95" s="11" t="s">
        <v>302</v>
      </c>
      <c r="C95" s="11" t="s">
        <v>306</v>
      </c>
      <c r="D95" s="1">
        <v>1000</v>
      </c>
      <c r="E95" s="14">
        <v>5</v>
      </c>
      <c r="F95" s="16">
        <f>Products[[#This Row],[PackagePrice]]/Products[[#This Row],[PackageWeight_g]]</f>
        <v>5.0000000000000001E-3</v>
      </c>
      <c r="G95" s="1">
        <v>1</v>
      </c>
    </row>
    <row r="96" spans="1:7" x14ac:dyDescent="0.55000000000000004">
      <c r="A96" s="11" t="s">
        <v>206</v>
      </c>
      <c r="B96" s="11" t="s">
        <v>125</v>
      </c>
      <c r="C96" s="13" t="s">
        <v>126</v>
      </c>
      <c r="D96" s="1">
        <v>30</v>
      </c>
      <c r="E96" s="14">
        <v>4.67</v>
      </c>
      <c r="F96" s="16">
        <f>Products[[#This Row],[PackagePrice]]/Products[[#This Row],[PackageWeight_g]]</f>
        <v>0.15566666666666668</v>
      </c>
      <c r="G96" s="1">
        <v>2</v>
      </c>
    </row>
    <row r="97" spans="1:7" x14ac:dyDescent="0.55000000000000004">
      <c r="A97" s="11" t="s">
        <v>207</v>
      </c>
      <c r="B97" s="11" t="s">
        <v>125</v>
      </c>
      <c r="C97" s="13" t="s">
        <v>127</v>
      </c>
      <c r="D97" s="1">
        <v>30</v>
      </c>
      <c r="E97" s="14">
        <v>4.67</v>
      </c>
      <c r="F97" s="16">
        <f>Products[[#This Row],[PackagePrice]]/Products[[#This Row],[PackageWeight_g]]</f>
        <v>0.15566666666666668</v>
      </c>
      <c r="G97" s="1">
        <v>2</v>
      </c>
    </row>
    <row r="98" spans="1:7" x14ac:dyDescent="0.55000000000000004">
      <c r="A98" s="11" t="s">
        <v>236</v>
      </c>
      <c r="B98" s="11" t="s">
        <v>125</v>
      </c>
      <c r="C98" s="1" t="s">
        <v>198</v>
      </c>
      <c r="D98" s="1">
        <v>30</v>
      </c>
      <c r="E98" s="14">
        <v>4.67</v>
      </c>
      <c r="F98" s="16">
        <f>Products[[#This Row],[PackagePrice]]/Products[[#This Row],[PackageWeight_g]]</f>
        <v>0.15566666666666668</v>
      </c>
      <c r="G98" s="1">
        <v>2</v>
      </c>
    </row>
    <row r="99" spans="1:7" x14ac:dyDescent="0.55000000000000004">
      <c r="A99" s="11" t="s">
        <v>315</v>
      </c>
      <c r="B99" s="11" t="s">
        <v>316</v>
      </c>
      <c r="C99" s="11" t="s">
        <v>317</v>
      </c>
      <c r="D99" s="1">
        <v>15</v>
      </c>
      <c r="E99" s="14">
        <v>6.15</v>
      </c>
      <c r="F99" s="16">
        <f>Products[[#This Row],[PackagePrice]]/Products[[#This Row],[PackageWeight_g]]</f>
        <v>0.41000000000000003</v>
      </c>
      <c r="G99" s="1">
        <v>1</v>
      </c>
    </row>
  </sheetData>
  <phoneticPr fontId="4" type="noConversion"/>
  <pageMargins left="0.7" right="0.7" top="0.75" bottom="0.75" header="0.3" footer="0.3"/>
  <ignoredErrors>
    <ignoredError sqref="C14:G27 C29:G31 D28:G28 C33:G99 D32:G32" twoDigitTextYear="1"/>
    <ignoredError sqref="C28 C32" twoDigitTextYear="1" numberStoredAsText="1"/>
    <ignoredError sqref="C1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61B7A-DBAB-49A6-89D0-F2B4D0F3AC22}">
  <sheetPr codeName="Sheet4">
    <tabColor theme="8"/>
  </sheetPr>
  <dimension ref="A1:K9"/>
  <sheetViews>
    <sheetView topLeftCell="B1" workbookViewId="0">
      <selection activeCell="A9" sqref="A9:F9"/>
    </sheetView>
  </sheetViews>
  <sheetFormatPr defaultColWidth="0" defaultRowHeight="14.4" x14ac:dyDescent="0.55000000000000004"/>
  <cols>
    <col min="1" max="1" width="18.3671875" style="1" customWidth="1"/>
    <col min="2" max="2" width="11.41796875" style="1" bestFit="1" customWidth="1"/>
    <col min="3" max="3" width="18.15625" style="1" customWidth="1"/>
    <col min="4" max="4" width="18.734375" style="1" bestFit="1" customWidth="1"/>
    <col min="5" max="5" width="14.3671875" style="2" bestFit="1" customWidth="1"/>
    <col min="6" max="6" width="15.3125" style="1" bestFit="1" customWidth="1"/>
    <col min="7" max="7" width="11.20703125" style="1" hidden="1" customWidth="1"/>
    <col min="8" max="8" width="32.83984375" style="1" hidden="1" customWidth="1"/>
    <col min="9" max="9" width="9.20703125" style="1" hidden="1" customWidth="1"/>
    <col min="10" max="10" width="12.26171875" style="1" hidden="1" customWidth="1"/>
    <col min="11" max="11" width="13.47265625" style="1" hidden="1" customWidth="1"/>
    <col min="12" max="16384" width="8.83984375" style="1" hidden="1"/>
  </cols>
  <sheetData>
    <row r="1" spans="1:6" ht="24.9" x14ac:dyDescent="0.55000000000000004">
      <c r="A1" s="19" t="s">
        <v>24</v>
      </c>
      <c r="B1" s="19"/>
      <c r="C1" s="21"/>
      <c r="D1" s="21"/>
      <c r="E1" s="21"/>
    </row>
    <row r="2" spans="1:6" ht="24.9" x14ac:dyDescent="0.55000000000000004">
      <c r="A2" s="20" t="s">
        <v>25</v>
      </c>
      <c r="B2" s="20"/>
      <c r="C2" s="21"/>
      <c r="D2" s="21"/>
      <c r="E2" s="21"/>
    </row>
    <row r="3" spans="1:6" ht="24.9" x14ac:dyDescent="0.55000000000000004">
      <c r="A3" s="20" t="s">
        <v>22</v>
      </c>
      <c r="B3" s="20"/>
      <c r="C3" s="22"/>
      <c r="D3" s="22"/>
      <c r="E3" s="22"/>
    </row>
    <row r="4" spans="1:6" ht="24.9" x14ac:dyDescent="0.55000000000000004">
      <c r="A4" s="20" t="s">
        <v>23</v>
      </c>
      <c r="B4" s="20"/>
      <c r="C4" s="21"/>
      <c r="D4" s="21"/>
      <c r="E4" s="21"/>
    </row>
    <row r="5" spans="1:6" ht="21.3" x14ac:dyDescent="0.55000000000000004">
      <c r="A5" s="4" t="str">
        <f>HYPERLINK("#Home!A1","⮐ Back to Home")</f>
        <v>⮐ Back to Home</v>
      </c>
      <c r="C5" s="10" t="s">
        <v>123</v>
      </c>
      <c r="D5" s="10">
        <v>1</v>
      </c>
    </row>
    <row r="7" spans="1:6" x14ac:dyDescent="0.55000000000000004">
      <c r="A7" s="1" t="s">
        <v>10</v>
      </c>
      <c r="B7" s="12" t="s">
        <v>16</v>
      </c>
      <c r="C7" s="1" t="s">
        <v>17</v>
      </c>
      <c r="D7" s="1" t="s">
        <v>8</v>
      </c>
      <c r="E7" s="2" t="s">
        <v>9</v>
      </c>
      <c r="F7" s="1" t="s">
        <v>18</v>
      </c>
    </row>
    <row r="8" spans="1:6" x14ac:dyDescent="0.55000000000000004">
      <c r="B8" s="12"/>
      <c r="F8" s="2"/>
    </row>
    <row r="9" spans="1:6" x14ac:dyDescent="0.55000000000000004">
      <c r="A9" s="1" t="s">
        <v>10</v>
      </c>
      <c r="B9" s="1" t="s">
        <v>11</v>
      </c>
      <c r="C9" s="1" t="s">
        <v>1</v>
      </c>
      <c r="D9" s="1" t="s">
        <v>2</v>
      </c>
      <c r="E9" s="2" t="s">
        <v>12</v>
      </c>
      <c r="F9" s="1" t="s">
        <v>13</v>
      </c>
    </row>
  </sheetData>
  <mergeCells count="8">
    <mergeCell ref="A1:B1"/>
    <mergeCell ref="A2:B2"/>
    <mergeCell ref="C2:E2"/>
    <mergeCell ref="A3:B3"/>
    <mergeCell ref="A4:B4"/>
    <mergeCell ref="C1:E1"/>
    <mergeCell ref="C3:E3"/>
    <mergeCell ref="C4:E4"/>
  </mergeCells>
  <phoneticPr fontId="4" type="noConversion"/>
  <dataValidations count="1">
    <dataValidation type="list" allowBlank="1" showInputMessage="1" showErrorMessage="1" sqref="B10" xr:uid="{37BC1C0B-2910-4772-B7D0-ED3E9FDF26A4}">
      <formula1>INDIRECT("Products[ProductName]")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" r:id="rId4" name="Button 194">
              <controlPr defaultSize="0" print="0" autoFill="0" autoPict="0" macro="[0]!AddVisitV2">
                <anchor moveWithCells="1" sizeWithCells="1">
                  <from>
                    <xdr:col>4</xdr:col>
                    <xdr:colOff>1021080</xdr:colOff>
                    <xdr:row>0</xdr:row>
                    <xdr:rowOff>19050</xdr:rowOff>
                  </from>
                  <to>
                    <xdr:col>6</xdr:col>
                    <xdr:colOff>3810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5" name="Button 195">
              <controlPr defaultSize="0" print="0" autoFill="0" autoPict="0" macro="[0]!AddProductV3">
                <anchor moveWithCells="1" sizeWithCells="1">
                  <from>
                    <xdr:col>4</xdr:col>
                    <xdr:colOff>1013460</xdr:colOff>
                    <xdr:row>2</xdr:row>
                    <xdr:rowOff>95250</xdr:rowOff>
                  </from>
                  <to>
                    <xdr:col>5</xdr:col>
                    <xdr:colOff>1104900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98856-8738-450B-AA85-30741E157994}">
  <sheetPr codeName="Sheet6">
    <tabColor theme="5"/>
  </sheetPr>
  <dimension ref="A1:XEM86"/>
  <sheetViews>
    <sheetView tabSelected="1" topLeftCell="B1" workbookViewId="0">
      <selection activeCell="F1" sqref="F1:J1"/>
    </sheetView>
  </sheetViews>
  <sheetFormatPr defaultColWidth="0" defaultRowHeight="17.7" x14ac:dyDescent="0.55000000000000004"/>
  <cols>
    <col min="1" max="1" width="0" style="5" hidden="1" customWidth="1"/>
    <col min="2" max="5" width="8.83984375" style="23" customWidth="1"/>
    <col min="6" max="6" width="30.578125" style="5" bestFit="1" customWidth="1"/>
    <col min="7" max="7" width="59.5234375" style="5" bestFit="1" customWidth="1"/>
    <col min="8" max="8" width="14.89453125" style="5" bestFit="1" customWidth="1"/>
    <col min="9" max="9" width="17.15625" style="9" bestFit="1" customWidth="1"/>
    <col min="10" max="10" width="11.9453125" style="5" bestFit="1" customWidth="1"/>
    <col min="11" max="16366" width="8.83984375" style="5" hidden="1"/>
    <col min="16367" max="16367" width="0" style="5" hidden="1"/>
    <col min="16368" max="16384" width="8.83984375" style="5" hidden="1"/>
  </cols>
  <sheetData>
    <row r="1" spans="6:10" x14ac:dyDescent="0.55000000000000004">
      <c r="F1" s="5" t="s">
        <v>29</v>
      </c>
      <c r="G1" s="5" t="s">
        <v>30</v>
      </c>
      <c r="H1" s="5" t="s">
        <v>31</v>
      </c>
      <c r="I1" s="9" t="s">
        <v>32</v>
      </c>
      <c r="J1" s="5" t="s">
        <v>33</v>
      </c>
    </row>
    <row r="2" spans="6:10" x14ac:dyDescent="0.55000000000000004">
      <c r="F2" s="7" t="s">
        <v>113</v>
      </c>
      <c r="G2" s="5" t="s">
        <v>34</v>
      </c>
      <c r="H2" s="6">
        <v>2.7777777777777776E-2</v>
      </c>
      <c r="I2" s="8">
        <v>45</v>
      </c>
      <c r="J2" s="5" t="b">
        <v>1</v>
      </c>
    </row>
    <row r="3" spans="6:10" x14ac:dyDescent="0.55000000000000004">
      <c r="F3" s="7" t="s">
        <v>113</v>
      </c>
      <c r="G3" s="5" t="s">
        <v>35</v>
      </c>
      <c r="H3" s="6">
        <v>4.1666666666666664E-2</v>
      </c>
      <c r="I3" s="8">
        <v>50</v>
      </c>
      <c r="J3" s="5" t="b">
        <v>1</v>
      </c>
    </row>
    <row r="4" spans="6:10" x14ac:dyDescent="0.55000000000000004">
      <c r="F4" s="7" t="s">
        <v>113</v>
      </c>
      <c r="G4" s="5" t="s">
        <v>36</v>
      </c>
      <c r="H4" s="6">
        <v>4.1666666666666664E-2</v>
      </c>
      <c r="I4" s="8">
        <v>65</v>
      </c>
      <c r="J4" s="5" t="b">
        <v>1</v>
      </c>
    </row>
    <row r="5" spans="6:10" x14ac:dyDescent="0.55000000000000004">
      <c r="F5" s="7" t="s">
        <v>113</v>
      </c>
      <c r="G5" s="5" t="s">
        <v>37</v>
      </c>
      <c r="H5" s="6">
        <v>5.5555555555555552E-2</v>
      </c>
      <c r="I5" s="8">
        <v>78</v>
      </c>
      <c r="J5" s="5" t="b">
        <v>1</v>
      </c>
    </row>
    <row r="6" spans="6:10" x14ac:dyDescent="0.55000000000000004">
      <c r="F6" s="7" t="s">
        <v>113</v>
      </c>
      <c r="G6" s="5" t="s">
        <v>38</v>
      </c>
      <c r="H6" s="6">
        <v>2.7777777777777776E-2</v>
      </c>
      <c r="I6" s="8">
        <v>50</v>
      </c>
      <c r="J6" s="5" t="b">
        <v>1</v>
      </c>
    </row>
    <row r="7" spans="6:10" x14ac:dyDescent="0.55000000000000004">
      <c r="F7" s="7" t="s">
        <v>113</v>
      </c>
      <c r="G7" s="5" t="s">
        <v>39</v>
      </c>
      <c r="H7" s="6">
        <v>3.4722222222222224E-2</v>
      </c>
      <c r="I7" s="8">
        <v>60</v>
      </c>
      <c r="J7" s="5" t="b">
        <v>1</v>
      </c>
    </row>
    <row r="8" spans="6:10" x14ac:dyDescent="0.55000000000000004">
      <c r="F8" s="7" t="s">
        <v>113</v>
      </c>
      <c r="G8" s="5" t="s">
        <v>40</v>
      </c>
      <c r="H8" s="6">
        <v>4.1666666666666664E-2</v>
      </c>
      <c r="I8" s="8">
        <v>70</v>
      </c>
      <c r="J8" s="5" t="b">
        <v>1</v>
      </c>
    </row>
    <row r="9" spans="6:10" x14ac:dyDescent="0.55000000000000004">
      <c r="F9" s="7" t="s">
        <v>113</v>
      </c>
      <c r="G9" s="5" t="s">
        <v>41</v>
      </c>
      <c r="H9" s="6">
        <v>4.1666666666666664E-2</v>
      </c>
      <c r="I9" s="8">
        <v>80</v>
      </c>
      <c r="J9" s="5" t="b">
        <v>1</v>
      </c>
    </row>
    <row r="10" spans="6:10" x14ac:dyDescent="0.55000000000000004">
      <c r="F10" s="7" t="s">
        <v>113</v>
      </c>
      <c r="G10" s="5" t="s">
        <v>42</v>
      </c>
      <c r="H10" s="6">
        <v>1.3888888888888888E-2</v>
      </c>
      <c r="I10" s="8">
        <v>10</v>
      </c>
      <c r="J10" s="5" t="b">
        <v>1</v>
      </c>
    </row>
    <row r="11" spans="6:10" x14ac:dyDescent="0.55000000000000004">
      <c r="F11" s="7" t="s">
        <v>113</v>
      </c>
      <c r="G11" s="5" t="s">
        <v>43</v>
      </c>
      <c r="H11" s="6">
        <v>2.0833333333333332E-2</v>
      </c>
      <c r="I11" s="8">
        <v>50</v>
      </c>
      <c r="J11" s="5" t="b">
        <v>1</v>
      </c>
    </row>
    <row r="12" spans="6:10" x14ac:dyDescent="0.55000000000000004">
      <c r="F12" s="7" t="s">
        <v>113</v>
      </c>
      <c r="G12" s="5" t="s">
        <v>44</v>
      </c>
      <c r="H12" s="6">
        <v>4.1666666666666664E-2</v>
      </c>
      <c r="I12" s="8">
        <v>60</v>
      </c>
      <c r="J12" s="5" t="b">
        <v>1</v>
      </c>
    </row>
    <row r="13" spans="6:10" x14ac:dyDescent="0.55000000000000004">
      <c r="F13" s="7" t="s">
        <v>113</v>
      </c>
      <c r="G13" s="5" t="s">
        <v>45</v>
      </c>
      <c r="H13" s="6">
        <v>2.7777777777777776E-2</v>
      </c>
      <c r="I13" s="8">
        <v>70</v>
      </c>
      <c r="J13" s="5" t="b">
        <v>1</v>
      </c>
    </row>
    <row r="14" spans="6:10" x14ac:dyDescent="0.55000000000000004">
      <c r="F14" s="7" t="s">
        <v>113</v>
      </c>
      <c r="G14" s="5" t="s">
        <v>46</v>
      </c>
      <c r="H14" s="6">
        <v>4.1666666666666664E-2</v>
      </c>
      <c r="I14" s="8">
        <v>80</v>
      </c>
      <c r="J14" s="5" t="b">
        <v>1</v>
      </c>
    </row>
    <row r="15" spans="6:10" x14ac:dyDescent="0.55000000000000004">
      <c r="F15" s="7" t="s">
        <v>113</v>
      </c>
      <c r="G15" s="5" t="s">
        <v>47</v>
      </c>
      <c r="H15" s="6">
        <v>2.0833333333333332E-2</v>
      </c>
      <c r="I15" s="8">
        <v>30</v>
      </c>
      <c r="J15" s="5" t="b">
        <v>1</v>
      </c>
    </row>
    <row r="16" spans="6:10" x14ac:dyDescent="0.55000000000000004">
      <c r="F16" s="7" t="s">
        <v>113</v>
      </c>
      <c r="G16" s="5" t="s">
        <v>48</v>
      </c>
      <c r="H16" s="6">
        <v>1.0416666666666666E-2</v>
      </c>
      <c r="I16" s="8">
        <v>20</v>
      </c>
      <c r="J16" s="5" t="b">
        <v>1</v>
      </c>
    </row>
    <row r="17" spans="6:10" x14ac:dyDescent="0.55000000000000004">
      <c r="F17" s="7" t="s">
        <v>113</v>
      </c>
      <c r="G17" s="5" t="s">
        <v>49</v>
      </c>
      <c r="H17" s="6">
        <v>2.0833333333333332E-2</v>
      </c>
      <c r="I17" s="8">
        <v>25</v>
      </c>
      <c r="J17" s="5" t="b">
        <v>1</v>
      </c>
    </row>
    <row r="18" spans="6:10" x14ac:dyDescent="0.55000000000000004">
      <c r="F18" s="5" t="s">
        <v>114</v>
      </c>
      <c r="G18" s="5" t="s">
        <v>122</v>
      </c>
      <c r="H18" s="6">
        <v>8.3333333333333329E-2</v>
      </c>
      <c r="I18" s="8">
        <v>115</v>
      </c>
      <c r="J18" s="5" t="b">
        <v>1</v>
      </c>
    </row>
    <row r="19" spans="6:10" x14ac:dyDescent="0.55000000000000004">
      <c r="F19" s="5" t="s">
        <v>114</v>
      </c>
      <c r="G19" s="5" t="s">
        <v>50</v>
      </c>
      <c r="H19" s="6">
        <v>9.375E-2</v>
      </c>
      <c r="I19" s="8">
        <v>129</v>
      </c>
      <c r="J19" s="5" t="b">
        <v>1</v>
      </c>
    </row>
    <row r="20" spans="6:10" x14ac:dyDescent="0.55000000000000004">
      <c r="F20" s="5" t="s">
        <v>114</v>
      </c>
      <c r="G20" s="5" t="s">
        <v>51</v>
      </c>
      <c r="H20" s="6">
        <v>0.10416666666666667</v>
      </c>
      <c r="I20" s="8">
        <v>149</v>
      </c>
      <c r="J20" s="5" t="b">
        <v>1</v>
      </c>
    </row>
    <row r="21" spans="6:10" x14ac:dyDescent="0.55000000000000004">
      <c r="F21" s="5" t="s">
        <v>114</v>
      </c>
      <c r="G21" s="5" t="s">
        <v>52</v>
      </c>
      <c r="H21" s="6">
        <v>0.11458333333333333</v>
      </c>
      <c r="I21" s="8">
        <v>168</v>
      </c>
      <c r="J21" s="5" t="b">
        <v>1</v>
      </c>
    </row>
    <row r="22" spans="6:10" x14ac:dyDescent="0.55000000000000004">
      <c r="F22" s="5" t="s">
        <v>114</v>
      </c>
      <c r="G22" s="5" t="s">
        <v>53</v>
      </c>
      <c r="H22" s="6">
        <v>8.3333333333333329E-2</v>
      </c>
      <c r="I22" s="8">
        <v>115</v>
      </c>
      <c r="J22" s="5" t="b">
        <v>1</v>
      </c>
    </row>
    <row r="23" spans="6:10" x14ac:dyDescent="0.55000000000000004">
      <c r="F23" s="5" t="s">
        <v>114</v>
      </c>
      <c r="G23" s="5" t="s">
        <v>54</v>
      </c>
      <c r="H23" s="6">
        <v>9.375E-2</v>
      </c>
      <c r="I23" s="8">
        <v>138</v>
      </c>
      <c r="J23" s="5" t="b">
        <v>1</v>
      </c>
    </row>
    <row r="24" spans="6:10" x14ac:dyDescent="0.55000000000000004">
      <c r="F24" s="5" t="s">
        <v>114</v>
      </c>
      <c r="G24" s="5" t="s">
        <v>55</v>
      </c>
      <c r="H24" s="6">
        <v>0.10416666666666667</v>
      </c>
      <c r="I24" s="8">
        <v>153</v>
      </c>
      <c r="J24" s="5" t="b">
        <v>1</v>
      </c>
    </row>
    <row r="25" spans="6:10" x14ac:dyDescent="0.55000000000000004">
      <c r="F25" s="5" t="s">
        <v>114</v>
      </c>
      <c r="G25" s="5" t="s">
        <v>56</v>
      </c>
      <c r="H25" s="6">
        <v>0.11458333333333333</v>
      </c>
      <c r="I25" s="8">
        <v>172</v>
      </c>
      <c r="J25" s="5" t="b">
        <v>1</v>
      </c>
    </row>
    <row r="26" spans="6:10" x14ac:dyDescent="0.55000000000000004">
      <c r="F26" s="5" t="s">
        <v>114</v>
      </c>
      <c r="G26" s="5" t="s">
        <v>57</v>
      </c>
      <c r="H26" s="6">
        <v>6.25E-2</v>
      </c>
      <c r="I26" s="8">
        <v>98</v>
      </c>
      <c r="J26" s="5" t="b">
        <v>1</v>
      </c>
    </row>
    <row r="27" spans="6:10" x14ac:dyDescent="0.55000000000000004">
      <c r="F27" s="5" t="s">
        <v>114</v>
      </c>
      <c r="G27" s="5" t="s">
        <v>58</v>
      </c>
      <c r="H27" s="6">
        <v>7.2916666666666671E-2</v>
      </c>
      <c r="I27" s="8">
        <v>100</v>
      </c>
      <c r="J27" s="5" t="b">
        <v>1</v>
      </c>
    </row>
    <row r="28" spans="6:10" x14ac:dyDescent="0.55000000000000004">
      <c r="F28" s="5" t="s">
        <v>114</v>
      </c>
      <c r="G28" s="5" t="s">
        <v>59</v>
      </c>
      <c r="H28" s="6">
        <v>8.3333333333333329E-2</v>
      </c>
      <c r="I28" s="8">
        <v>105</v>
      </c>
      <c r="J28" s="5" t="b">
        <v>1</v>
      </c>
    </row>
    <row r="29" spans="6:10" x14ac:dyDescent="0.55000000000000004">
      <c r="F29" s="5" t="s">
        <v>114</v>
      </c>
      <c r="G29" s="5" t="s">
        <v>60</v>
      </c>
      <c r="H29" s="6">
        <v>9.375E-2</v>
      </c>
      <c r="I29" s="8">
        <v>110</v>
      </c>
      <c r="J29" s="5" t="b">
        <v>1</v>
      </c>
    </row>
    <row r="30" spans="6:10" x14ac:dyDescent="0.55000000000000004">
      <c r="F30" s="5" t="s">
        <v>114</v>
      </c>
      <c r="G30" s="5" t="s">
        <v>61</v>
      </c>
      <c r="H30" s="6">
        <v>6.25E-2</v>
      </c>
      <c r="I30" s="8">
        <v>95</v>
      </c>
      <c r="J30" s="5" t="b">
        <v>1</v>
      </c>
    </row>
    <row r="31" spans="6:10" x14ac:dyDescent="0.55000000000000004">
      <c r="F31" s="5" t="s">
        <v>114</v>
      </c>
      <c r="G31" s="5" t="s">
        <v>62</v>
      </c>
      <c r="H31" s="6">
        <v>7.2916666666666671E-2</v>
      </c>
      <c r="I31" s="8">
        <v>119</v>
      </c>
      <c r="J31" s="5" t="b">
        <v>1</v>
      </c>
    </row>
    <row r="32" spans="6:10" x14ac:dyDescent="0.55000000000000004">
      <c r="F32" s="5" t="s">
        <v>114</v>
      </c>
      <c r="G32" s="5" t="s">
        <v>63</v>
      </c>
      <c r="H32" s="6">
        <v>8.3333333333333329E-2</v>
      </c>
      <c r="I32" s="8">
        <v>129</v>
      </c>
      <c r="J32" s="5" t="b">
        <v>1</v>
      </c>
    </row>
    <row r="33" spans="6:10" x14ac:dyDescent="0.55000000000000004">
      <c r="F33" s="5" t="s">
        <v>114</v>
      </c>
      <c r="G33" s="5" t="s">
        <v>64</v>
      </c>
      <c r="H33" s="6">
        <v>9.375E-2</v>
      </c>
      <c r="I33" s="8">
        <v>151</v>
      </c>
      <c r="J33" s="5" t="b">
        <v>1</v>
      </c>
    </row>
    <row r="34" spans="6:10" x14ac:dyDescent="0.55000000000000004">
      <c r="F34" s="5" t="s">
        <v>114</v>
      </c>
      <c r="G34" s="5" t="s">
        <v>65</v>
      </c>
      <c r="H34" s="6">
        <v>4.1666666666666664E-2</v>
      </c>
      <c r="I34" s="8">
        <v>160</v>
      </c>
      <c r="J34" s="5" t="b">
        <v>1</v>
      </c>
    </row>
    <row r="35" spans="6:10" x14ac:dyDescent="0.55000000000000004">
      <c r="F35" s="5" t="s">
        <v>114</v>
      </c>
      <c r="G35" s="5" t="s">
        <v>66</v>
      </c>
      <c r="H35" s="6">
        <v>5.5555555555555552E-2</v>
      </c>
      <c r="I35" s="8">
        <v>180</v>
      </c>
      <c r="J35" s="5" t="b">
        <v>1</v>
      </c>
    </row>
    <row r="36" spans="6:10" x14ac:dyDescent="0.55000000000000004">
      <c r="F36" s="5" t="s">
        <v>114</v>
      </c>
      <c r="G36" s="5" t="s">
        <v>67</v>
      </c>
      <c r="H36" s="6">
        <v>6.25E-2</v>
      </c>
      <c r="I36" s="8">
        <v>250</v>
      </c>
      <c r="J36" s="5" t="b">
        <v>1</v>
      </c>
    </row>
    <row r="37" spans="6:10" x14ac:dyDescent="0.55000000000000004">
      <c r="F37" s="5" t="s">
        <v>68</v>
      </c>
      <c r="G37" s="5" t="s">
        <v>69</v>
      </c>
      <c r="H37" s="6">
        <v>2.0833333333333332E-2</v>
      </c>
      <c r="I37" s="8">
        <v>35</v>
      </c>
      <c r="J37" s="5" t="b">
        <v>1</v>
      </c>
    </row>
    <row r="38" spans="6:10" x14ac:dyDescent="0.55000000000000004">
      <c r="F38" s="5" t="s">
        <v>68</v>
      </c>
      <c r="G38" s="5" t="s">
        <v>70</v>
      </c>
      <c r="H38" s="6">
        <v>4.1666666666666664E-2</v>
      </c>
      <c r="I38" s="8">
        <v>70</v>
      </c>
      <c r="J38" s="5" t="b">
        <v>1</v>
      </c>
    </row>
    <row r="39" spans="6:10" x14ac:dyDescent="0.55000000000000004">
      <c r="F39" s="5" t="s">
        <v>68</v>
      </c>
      <c r="G39" s="5" t="s">
        <v>71</v>
      </c>
      <c r="H39" s="6">
        <v>3.125E-2</v>
      </c>
      <c r="I39" s="8">
        <v>30</v>
      </c>
      <c r="J39" s="5" t="b">
        <v>1</v>
      </c>
    </row>
    <row r="40" spans="6:10" x14ac:dyDescent="0.55000000000000004">
      <c r="F40" s="5" t="s">
        <v>68</v>
      </c>
      <c r="G40" s="5" t="s">
        <v>72</v>
      </c>
      <c r="H40" s="6">
        <v>4.1666666666666664E-2</v>
      </c>
      <c r="I40" s="8">
        <v>75</v>
      </c>
      <c r="J40" s="5" t="b">
        <v>1</v>
      </c>
    </row>
    <row r="41" spans="6:10" x14ac:dyDescent="0.55000000000000004">
      <c r="F41" s="5" t="s">
        <v>68</v>
      </c>
      <c r="G41" s="5" t="s">
        <v>73</v>
      </c>
      <c r="H41" s="6">
        <v>2.7777777777777776E-2</v>
      </c>
      <c r="I41" s="8">
        <v>40</v>
      </c>
      <c r="J41" s="5" t="b">
        <v>1</v>
      </c>
    </row>
    <row r="42" spans="6:10" x14ac:dyDescent="0.55000000000000004">
      <c r="F42" s="5" t="s">
        <v>68</v>
      </c>
      <c r="G42" s="5" t="s">
        <v>74</v>
      </c>
      <c r="H42" s="6">
        <v>3.4722222222222224E-2</v>
      </c>
      <c r="I42" s="8">
        <v>42</v>
      </c>
      <c r="J42" s="5" t="b">
        <v>1</v>
      </c>
    </row>
    <row r="43" spans="6:10" x14ac:dyDescent="0.55000000000000004">
      <c r="F43" s="5" t="s">
        <v>68</v>
      </c>
      <c r="G43" s="5" t="s">
        <v>75</v>
      </c>
      <c r="H43" s="6">
        <v>4.1666666666666664E-2</v>
      </c>
      <c r="I43" s="8">
        <v>45</v>
      </c>
      <c r="J43" s="5" t="b">
        <v>1</v>
      </c>
    </row>
    <row r="44" spans="6:10" x14ac:dyDescent="0.55000000000000004">
      <c r="F44" s="5" t="s">
        <v>68</v>
      </c>
      <c r="G44" s="5" t="s">
        <v>76</v>
      </c>
      <c r="H44" s="6">
        <v>3.4722222222222224E-2</v>
      </c>
      <c r="I44" s="8">
        <v>48</v>
      </c>
      <c r="J44" s="5" t="b">
        <v>1</v>
      </c>
    </row>
    <row r="45" spans="6:10" x14ac:dyDescent="0.55000000000000004">
      <c r="F45" s="5" t="s">
        <v>68</v>
      </c>
      <c r="G45" s="5" t="s">
        <v>77</v>
      </c>
      <c r="H45" s="6">
        <v>2.7777777777777776E-2</v>
      </c>
      <c r="I45" s="8">
        <v>60</v>
      </c>
      <c r="J45" s="5" t="b">
        <v>1</v>
      </c>
    </row>
    <row r="46" spans="6:10" x14ac:dyDescent="0.55000000000000004">
      <c r="F46" s="5" t="s">
        <v>68</v>
      </c>
      <c r="G46" s="5" t="s">
        <v>78</v>
      </c>
      <c r="H46" s="6">
        <v>2.7777777777777776E-2</v>
      </c>
      <c r="I46" s="8">
        <v>62</v>
      </c>
      <c r="J46" s="5" t="b">
        <v>1</v>
      </c>
    </row>
    <row r="47" spans="6:10" x14ac:dyDescent="0.55000000000000004">
      <c r="F47" s="5" t="s">
        <v>68</v>
      </c>
      <c r="G47" s="5" t="s">
        <v>79</v>
      </c>
      <c r="H47" s="6">
        <v>4.1666666666666664E-2</v>
      </c>
      <c r="I47" s="8">
        <v>65</v>
      </c>
      <c r="J47" s="5" t="b">
        <v>1</v>
      </c>
    </row>
    <row r="48" spans="6:10" x14ac:dyDescent="0.55000000000000004">
      <c r="F48" s="5" t="s">
        <v>68</v>
      </c>
      <c r="G48" s="5" t="s">
        <v>80</v>
      </c>
      <c r="H48" s="6">
        <v>4.1666666666666664E-2</v>
      </c>
      <c r="I48" s="8">
        <v>70</v>
      </c>
      <c r="J48" s="5" t="b">
        <v>1</v>
      </c>
    </row>
    <row r="49" spans="6:10" x14ac:dyDescent="0.55000000000000004">
      <c r="F49" s="5" t="s">
        <v>68</v>
      </c>
      <c r="G49" s="5" t="s">
        <v>81</v>
      </c>
      <c r="H49" s="6">
        <v>2.7777777777777776E-2</v>
      </c>
      <c r="I49" s="8">
        <v>55</v>
      </c>
      <c r="J49" s="5" t="b">
        <v>1</v>
      </c>
    </row>
    <row r="50" spans="6:10" x14ac:dyDescent="0.55000000000000004">
      <c r="F50" s="5" t="s">
        <v>68</v>
      </c>
      <c r="G50" s="5" t="s">
        <v>71</v>
      </c>
      <c r="H50" s="6">
        <v>3.4722222222222224E-2</v>
      </c>
      <c r="I50" s="8">
        <v>45</v>
      </c>
      <c r="J50" s="5" t="b">
        <v>1</v>
      </c>
    </row>
    <row r="51" spans="6:10" x14ac:dyDescent="0.55000000000000004">
      <c r="F51" s="5" t="s">
        <v>68</v>
      </c>
      <c r="G51" s="5" t="s">
        <v>72</v>
      </c>
      <c r="H51" s="6">
        <v>4.1666666666666664E-2</v>
      </c>
      <c r="I51" s="8">
        <v>65</v>
      </c>
      <c r="J51" s="5" t="b">
        <v>1</v>
      </c>
    </row>
    <row r="52" spans="6:10" x14ac:dyDescent="0.55000000000000004">
      <c r="F52" s="5" t="s">
        <v>68</v>
      </c>
      <c r="G52" s="5" t="s">
        <v>82</v>
      </c>
      <c r="H52" s="6">
        <v>6.25E-2</v>
      </c>
      <c r="I52" s="8">
        <v>120</v>
      </c>
      <c r="J52" s="5" t="b">
        <v>1</v>
      </c>
    </row>
    <row r="53" spans="6:10" x14ac:dyDescent="0.55000000000000004">
      <c r="F53" s="5" t="s">
        <v>68</v>
      </c>
      <c r="G53" s="5" t="s">
        <v>83</v>
      </c>
      <c r="H53" s="6">
        <v>6.9444444444444448E-2</v>
      </c>
      <c r="I53" s="8">
        <v>120</v>
      </c>
      <c r="J53" s="5" t="b">
        <v>1</v>
      </c>
    </row>
    <row r="54" spans="6:10" x14ac:dyDescent="0.55000000000000004">
      <c r="F54" s="5" t="s">
        <v>115</v>
      </c>
      <c r="G54" s="5" t="s">
        <v>121</v>
      </c>
      <c r="H54" s="6">
        <v>6.25E-2</v>
      </c>
      <c r="I54" s="8">
        <v>100</v>
      </c>
      <c r="J54" s="5" t="b">
        <v>1</v>
      </c>
    </row>
    <row r="55" spans="6:10" x14ac:dyDescent="0.55000000000000004">
      <c r="F55" s="5" t="s">
        <v>115</v>
      </c>
      <c r="G55" s="5" t="s">
        <v>84</v>
      </c>
      <c r="H55" s="6">
        <v>7.2916666666666671E-2</v>
      </c>
      <c r="I55" s="8">
        <v>119</v>
      </c>
      <c r="J55" s="5" t="b">
        <v>1</v>
      </c>
    </row>
    <row r="56" spans="6:10" x14ac:dyDescent="0.55000000000000004">
      <c r="F56" s="5" t="s">
        <v>115</v>
      </c>
      <c r="G56" s="5" t="s">
        <v>85</v>
      </c>
      <c r="H56" s="6">
        <v>8.3333333333333329E-2</v>
      </c>
      <c r="I56" s="8">
        <v>129</v>
      </c>
      <c r="J56" s="5" t="b">
        <v>1</v>
      </c>
    </row>
    <row r="57" spans="6:10" x14ac:dyDescent="0.55000000000000004">
      <c r="F57" s="5" t="s">
        <v>115</v>
      </c>
      <c r="G57" s="5" t="s">
        <v>86</v>
      </c>
      <c r="H57" s="6">
        <v>9.375E-2</v>
      </c>
      <c r="I57" s="8">
        <v>149</v>
      </c>
      <c r="J57" s="5" t="b">
        <v>1</v>
      </c>
    </row>
    <row r="58" spans="6:10" x14ac:dyDescent="0.55000000000000004">
      <c r="F58" s="5" t="s">
        <v>115</v>
      </c>
      <c r="G58" s="5" t="s">
        <v>87</v>
      </c>
      <c r="H58" s="6">
        <v>6.25E-2</v>
      </c>
      <c r="I58" s="8">
        <v>102</v>
      </c>
      <c r="J58" s="5" t="b">
        <v>1</v>
      </c>
    </row>
    <row r="59" spans="6:10" x14ac:dyDescent="0.55000000000000004">
      <c r="F59" s="5" t="s">
        <v>115</v>
      </c>
      <c r="G59" s="5" t="s">
        <v>88</v>
      </c>
      <c r="H59" s="6">
        <v>4.1666666666666664E-2</v>
      </c>
      <c r="I59" s="8">
        <v>75</v>
      </c>
      <c r="J59" s="5" t="b">
        <v>1</v>
      </c>
    </row>
    <row r="60" spans="6:10" x14ac:dyDescent="0.55000000000000004">
      <c r="F60" s="5" t="s">
        <v>115</v>
      </c>
      <c r="G60" s="5" t="s">
        <v>89</v>
      </c>
      <c r="H60" s="6">
        <v>5.5555555555555552E-2</v>
      </c>
      <c r="I60" s="8">
        <v>90</v>
      </c>
      <c r="J60" s="5" t="b">
        <v>1</v>
      </c>
    </row>
    <row r="61" spans="6:10" x14ac:dyDescent="0.55000000000000004">
      <c r="F61" s="5" t="s">
        <v>115</v>
      </c>
      <c r="G61" s="5" t="s">
        <v>90</v>
      </c>
      <c r="H61" s="6">
        <v>6.25E-2</v>
      </c>
      <c r="I61" s="8">
        <v>99</v>
      </c>
      <c r="J61" s="5" t="b">
        <v>1</v>
      </c>
    </row>
    <row r="62" spans="6:10" x14ac:dyDescent="0.55000000000000004">
      <c r="F62" s="5" t="s">
        <v>115</v>
      </c>
      <c r="G62" s="5" t="s">
        <v>91</v>
      </c>
      <c r="H62" s="6">
        <v>7.2916666666666671E-2</v>
      </c>
      <c r="I62" s="8">
        <v>115</v>
      </c>
      <c r="J62" s="5" t="b">
        <v>1</v>
      </c>
    </row>
    <row r="63" spans="6:10" x14ac:dyDescent="0.55000000000000004">
      <c r="F63" s="5" t="s">
        <v>115</v>
      </c>
      <c r="G63" s="5" t="s">
        <v>92</v>
      </c>
      <c r="H63" s="6">
        <v>8.3333333333333329E-2</v>
      </c>
      <c r="I63" s="8">
        <v>129</v>
      </c>
      <c r="J63" s="5" t="b">
        <v>1</v>
      </c>
    </row>
    <row r="64" spans="6:10" x14ac:dyDescent="0.55000000000000004">
      <c r="F64" s="5" t="s">
        <v>115</v>
      </c>
      <c r="G64" s="5" t="s">
        <v>93</v>
      </c>
      <c r="H64" s="6">
        <v>4.1666666666666664E-2</v>
      </c>
      <c r="I64" s="8">
        <v>75</v>
      </c>
      <c r="J64" s="5" t="b">
        <v>1</v>
      </c>
    </row>
    <row r="65" spans="6:10" x14ac:dyDescent="0.55000000000000004">
      <c r="F65" s="5" t="s">
        <v>115</v>
      </c>
      <c r="G65" s="5" t="s">
        <v>94</v>
      </c>
      <c r="H65" s="6">
        <v>4.1666666666666664E-2</v>
      </c>
      <c r="I65" s="8">
        <v>150</v>
      </c>
      <c r="J65" s="5" t="b">
        <v>1</v>
      </c>
    </row>
    <row r="66" spans="6:10" x14ac:dyDescent="0.55000000000000004">
      <c r="F66" s="5" t="s">
        <v>115</v>
      </c>
      <c r="G66" s="5" t="s">
        <v>95</v>
      </c>
      <c r="H66" s="6">
        <v>2.0833333333333332E-2</v>
      </c>
      <c r="I66" s="8">
        <v>35</v>
      </c>
      <c r="J66" s="5" t="b">
        <v>1</v>
      </c>
    </row>
    <row r="67" spans="6:10" x14ac:dyDescent="0.55000000000000004">
      <c r="F67" s="5" t="s">
        <v>115</v>
      </c>
      <c r="G67" s="5" t="s">
        <v>96</v>
      </c>
      <c r="H67" s="6">
        <v>4.1666666666666664E-2</v>
      </c>
      <c r="I67" s="8">
        <v>100</v>
      </c>
      <c r="J67" s="5" t="b">
        <v>1</v>
      </c>
    </row>
    <row r="68" spans="6:10" x14ac:dyDescent="0.55000000000000004">
      <c r="F68" s="5" t="s">
        <v>115</v>
      </c>
      <c r="G68" s="5" t="s">
        <v>97</v>
      </c>
      <c r="H68" s="6">
        <v>2.0833333333333332E-2</v>
      </c>
      <c r="I68" s="8">
        <v>30</v>
      </c>
      <c r="J68" s="5" t="b">
        <v>1</v>
      </c>
    </row>
    <row r="69" spans="6:10" x14ac:dyDescent="0.55000000000000004">
      <c r="F69" s="5" t="s">
        <v>115</v>
      </c>
      <c r="G69" s="5" t="s">
        <v>98</v>
      </c>
      <c r="H69" s="6">
        <v>4.1666666666666664E-2</v>
      </c>
      <c r="I69" s="8">
        <v>70</v>
      </c>
      <c r="J69" s="5" t="b">
        <v>1</v>
      </c>
    </row>
    <row r="70" spans="6:10" x14ac:dyDescent="0.55000000000000004">
      <c r="F70" s="5" t="s">
        <v>115</v>
      </c>
      <c r="G70" s="5" t="s">
        <v>95</v>
      </c>
      <c r="H70" s="6">
        <v>4.1666666666666664E-2</v>
      </c>
      <c r="I70" s="8">
        <v>80</v>
      </c>
      <c r="J70" s="5" t="b">
        <v>1</v>
      </c>
    </row>
    <row r="71" spans="6:10" x14ac:dyDescent="0.55000000000000004">
      <c r="F71" s="5" t="s">
        <v>116</v>
      </c>
      <c r="G71" s="5" t="s">
        <v>120</v>
      </c>
      <c r="H71" s="6">
        <v>8.3333333333333329E-2</v>
      </c>
      <c r="I71" s="8">
        <v>105</v>
      </c>
      <c r="J71" s="5" t="b">
        <v>1</v>
      </c>
    </row>
    <row r="72" spans="6:10" x14ac:dyDescent="0.55000000000000004">
      <c r="F72" s="5" t="s">
        <v>116</v>
      </c>
      <c r="G72" s="5" t="s">
        <v>99</v>
      </c>
      <c r="H72" s="6">
        <v>0.10416666666666667</v>
      </c>
      <c r="I72" s="8">
        <v>129</v>
      </c>
      <c r="J72" s="5" t="b">
        <v>1</v>
      </c>
    </row>
    <row r="73" spans="6:10" x14ac:dyDescent="0.55000000000000004">
      <c r="F73" s="5" t="s">
        <v>116</v>
      </c>
      <c r="G73" s="5" t="s">
        <v>100</v>
      </c>
      <c r="H73" s="6">
        <v>0.10416666666666667</v>
      </c>
      <c r="I73" s="8">
        <v>130</v>
      </c>
      <c r="J73" s="5" t="b">
        <v>1</v>
      </c>
    </row>
    <row r="74" spans="6:10" x14ac:dyDescent="0.55000000000000004">
      <c r="F74" s="5" t="s">
        <v>116</v>
      </c>
      <c r="G74" s="5" t="s">
        <v>101</v>
      </c>
      <c r="H74" s="6">
        <v>0.125</v>
      </c>
      <c r="I74" s="8">
        <v>170</v>
      </c>
      <c r="J74" s="5" t="b">
        <v>1</v>
      </c>
    </row>
    <row r="75" spans="6:10" x14ac:dyDescent="0.55000000000000004">
      <c r="F75" s="5" t="s">
        <v>116</v>
      </c>
      <c r="G75" s="5" t="s">
        <v>102</v>
      </c>
      <c r="H75" s="6">
        <v>4.1666666666666664E-2</v>
      </c>
      <c r="I75" s="8">
        <v>95</v>
      </c>
      <c r="J75" s="5" t="b">
        <v>1</v>
      </c>
    </row>
    <row r="76" spans="6:10" x14ac:dyDescent="0.55000000000000004">
      <c r="F76" s="5" t="s">
        <v>116</v>
      </c>
      <c r="G76" s="5" t="s">
        <v>103</v>
      </c>
      <c r="H76" s="6">
        <v>4.8611111111111112E-2</v>
      </c>
      <c r="I76" s="8">
        <v>130</v>
      </c>
      <c r="J76" s="5" t="b">
        <v>1</v>
      </c>
    </row>
    <row r="77" spans="6:10" x14ac:dyDescent="0.55000000000000004">
      <c r="F77" s="5" t="s">
        <v>116</v>
      </c>
      <c r="G77" s="5" t="s">
        <v>104</v>
      </c>
      <c r="H77" s="6">
        <v>6.25E-2</v>
      </c>
      <c r="I77" s="8">
        <v>150</v>
      </c>
      <c r="J77" s="5" t="b">
        <v>1</v>
      </c>
    </row>
    <row r="78" spans="6:10" x14ac:dyDescent="0.55000000000000004">
      <c r="F78" s="5" t="s">
        <v>116</v>
      </c>
      <c r="G78" s="5" t="s">
        <v>105</v>
      </c>
      <c r="H78" s="6">
        <v>4.1666666666666664E-2</v>
      </c>
      <c r="I78" s="8">
        <v>85</v>
      </c>
      <c r="J78" s="5" t="b">
        <v>1</v>
      </c>
    </row>
    <row r="79" spans="6:10" x14ac:dyDescent="0.55000000000000004">
      <c r="F79" s="5" t="s">
        <v>116</v>
      </c>
      <c r="G79" s="5" t="s">
        <v>106</v>
      </c>
      <c r="H79" s="6">
        <v>6.25E-2</v>
      </c>
      <c r="I79" s="8">
        <v>130</v>
      </c>
      <c r="J79" s="5" t="b">
        <v>1</v>
      </c>
    </row>
    <row r="80" spans="6:10" x14ac:dyDescent="0.55000000000000004">
      <c r="F80" s="5" t="s">
        <v>116</v>
      </c>
      <c r="G80" s="5" t="s">
        <v>107</v>
      </c>
      <c r="H80" s="6">
        <v>4.1666666666666664E-2</v>
      </c>
      <c r="I80" s="8">
        <v>70</v>
      </c>
      <c r="J80" s="5" t="b">
        <v>1</v>
      </c>
    </row>
    <row r="81" spans="6:10" x14ac:dyDescent="0.55000000000000004">
      <c r="F81" s="5" t="s">
        <v>116</v>
      </c>
      <c r="G81" s="5" t="s">
        <v>108</v>
      </c>
      <c r="H81" s="6">
        <v>4.1666666666666664E-2</v>
      </c>
      <c r="I81" s="8">
        <v>50</v>
      </c>
      <c r="J81" s="5" t="b">
        <v>1</v>
      </c>
    </row>
    <row r="82" spans="6:10" x14ac:dyDescent="0.55000000000000004">
      <c r="F82" s="5" t="s">
        <v>117</v>
      </c>
      <c r="G82" s="5" t="s">
        <v>109</v>
      </c>
      <c r="H82" s="6">
        <v>1.0416666666666666E-2</v>
      </c>
      <c r="I82" s="8">
        <v>18</v>
      </c>
      <c r="J82" s="5" t="b">
        <v>1</v>
      </c>
    </row>
    <row r="83" spans="6:10" x14ac:dyDescent="0.55000000000000004">
      <c r="F83" s="5" t="s">
        <v>117</v>
      </c>
      <c r="G83" s="5" t="s">
        <v>110</v>
      </c>
      <c r="H83" s="6">
        <v>1.0416666666666666E-2</v>
      </c>
      <c r="I83" s="8">
        <v>20</v>
      </c>
      <c r="J83" s="5" t="b">
        <v>1</v>
      </c>
    </row>
    <row r="84" spans="6:10" x14ac:dyDescent="0.55000000000000004">
      <c r="F84" s="5" t="s">
        <v>117</v>
      </c>
      <c r="G84" s="5" t="s">
        <v>111</v>
      </c>
      <c r="H84" s="6">
        <v>1.3888888888888888E-2</v>
      </c>
      <c r="I84" s="8">
        <v>35</v>
      </c>
      <c r="J84" s="5" t="b">
        <v>1</v>
      </c>
    </row>
    <row r="85" spans="6:10" x14ac:dyDescent="0.55000000000000004">
      <c r="F85" s="5" t="s">
        <v>117</v>
      </c>
      <c r="G85" s="5" t="s">
        <v>112</v>
      </c>
      <c r="H85" s="6">
        <v>1.3888888888888888E-2</v>
      </c>
      <c r="I85" s="8">
        <v>10</v>
      </c>
      <c r="J85" s="5" t="b">
        <v>1</v>
      </c>
    </row>
    <row r="86" spans="6:10" x14ac:dyDescent="0.55000000000000004">
      <c r="F86" s="5" t="s">
        <v>118</v>
      </c>
      <c r="G86" s="5" t="s">
        <v>119</v>
      </c>
      <c r="H86" s="6">
        <v>1.3888888888888888E-2</v>
      </c>
      <c r="I86" s="8">
        <v>20</v>
      </c>
      <c r="J86" s="5" t="b">
        <v>1</v>
      </c>
    </row>
  </sheetData>
  <mergeCells count="1">
    <mergeCell ref="B1:E1048576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82C4-3E80-4B3B-B771-F3A7B7920C91}">
  <sheetPr codeName="Sheet5">
    <tabColor rgb="FFFF0000"/>
  </sheetPr>
  <dimension ref="A2:B3"/>
  <sheetViews>
    <sheetView workbookViewId="0">
      <selection activeCell="J22" sqref="J22"/>
    </sheetView>
  </sheetViews>
  <sheetFormatPr defaultRowHeight="14.4" x14ac:dyDescent="0.55000000000000004"/>
  <cols>
    <col min="1" max="1" width="15.89453125" bestFit="1" customWidth="1"/>
  </cols>
  <sheetData>
    <row r="2" spans="1:2" x14ac:dyDescent="0.55000000000000004">
      <c r="A2" t="s">
        <v>0</v>
      </c>
      <c r="B2" s="1">
        <v>0.255</v>
      </c>
    </row>
    <row r="3" spans="1:2" x14ac:dyDescent="0.55000000000000004">
      <c r="A3" t="s">
        <v>15</v>
      </c>
      <c r="B3" s="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Home</vt:lpstr>
      <vt:lpstr>Products</vt:lpstr>
      <vt:lpstr>Template</vt:lpstr>
      <vt:lpstr>Services</vt:lpstr>
      <vt:lpstr>Settings</vt:lpstr>
      <vt:lpstr>Prices_include_VAT?</vt:lpstr>
      <vt:lpstr>PricesIncludeVAT</vt:lpstr>
      <vt:lpstr>ProductNames</vt:lpstr>
      <vt:lpstr>VAT_Price</vt:lpstr>
      <vt:lpstr>VAT_Rate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Golrasan</dc:creator>
  <cp:lastModifiedBy>Reza Golrasan</cp:lastModifiedBy>
  <dcterms:created xsi:type="dcterms:W3CDTF">2025-10-27T16:40:37Z</dcterms:created>
  <dcterms:modified xsi:type="dcterms:W3CDTF">2025-11-02T10:20:32Z</dcterms:modified>
</cp:coreProperties>
</file>